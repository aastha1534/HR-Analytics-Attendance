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<sst xmlns="http://schemas.openxmlformats.org/spreadsheetml/2006/main" count="789" uniqueCount="210">
  <si>
    <t xml:space="preserve">EmployeeCode</t>
  </si>
  <si>
    <t xml:space="preserve">Name</t>
  </si>
  <si>
    <t xml:space="preserve">Month</t>
  </si>
  <si>
    <t xml:space="preserve">TotalPresentDays</t>
  </si>
  <si>
    <t xml:space="preserve">Present</t>
  </si>
  <si>
    <t xml:space="preserve">WorkFromHome</t>
  </si>
  <si>
    <t xml:space="preserve">PaidLeave</t>
  </si>
  <si>
    <t xml:space="preserve">SickLeave</t>
  </si>
  <si>
    <t xml:space="preserve">BirthdayLeave</t>
  </si>
  <si>
    <t xml:space="preserve">FloatingFestivalLeave</t>
  </si>
  <si>
    <t xml:space="preserve">BereavementLeave</t>
  </si>
  <si>
    <t xml:space="preserve">LeaveWithoutPay</t>
  </si>
  <si>
    <t xml:space="preserve">WeeklyOff</t>
  </si>
  <si>
    <t xml:space="preserve">HolidayOff</t>
  </si>
  <si>
    <t xml:space="preserve">MenstrualLeave</t>
  </si>
  <si>
    <t xml:space="preserve">Atq -406</t>
  </si>
  <si>
    <t xml:space="preserve">Thanos Thakur</t>
  </si>
  <si>
    <t xml:space="preserve">Apr 2022</t>
  </si>
  <si>
    <t xml:space="preserve">Atq -462</t>
  </si>
  <si>
    <t xml:space="preserve">Jarvis Singh</t>
  </si>
  <si>
    <t xml:space="preserve">Atq -411</t>
  </si>
  <si>
    <t xml:space="preserve">Nevaeh Waller</t>
  </si>
  <si>
    <t xml:space="preserve">Atq -398</t>
  </si>
  <si>
    <t xml:space="preserve">Bo Cordova</t>
  </si>
  <si>
    <t xml:space="preserve">Atq -438</t>
  </si>
  <si>
    <t xml:space="preserve">Mekhi Singleton</t>
  </si>
  <si>
    <t xml:space="preserve">Atq -366</t>
  </si>
  <si>
    <t xml:space="preserve">Peter Pandey</t>
  </si>
  <si>
    <t xml:space="preserve">Atq -441</t>
  </si>
  <si>
    <t xml:space="preserve">Loki Lal</t>
  </si>
  <si>
    <t xml:space="preserve">Atq -436</t>
  </si>
  <si>
    <t xml:space="preserve">Phoenix Brady</t>
  </si>
  <si>
    <t xml:space="preserve">Atq -404</t>
  </si>
  <si>
    <t xml:space="preserve">Ana Little</t>
  </si>
  <si>
    <t xml:space="preserve">Atq -397</t>
  </si>
  <si>
    <t xml:space="preserve">Grace Stone</t>
  </si>
  <si>
    <t xml:space="preserve">Atq -335</t>
  </si>
  <si>
    <t xml:space="preserve">Tori Shannon</t>
  </si>
  <si>
    <t xml:space="preserve">Atq -443</t>
  </si>
  <si>
    <t xml:space="preserve">Lyric Bartlett</t>
  </si>
  <si>
    <t xml:space="preserve">Atq -419</t>
  </si>
  <si>
    <t xml:space="preserve">Kaylah Schultz</t>
  </si>
  <si>
    <t xml:space="preserve">Atq -467</t>
  </si>
  <si>
    <t xml:space="preserve">Cason David</t>
  </si>
  <si>
    <t xml:space="preserve">Atq -450</t>
  </si>
  <si>
    <t xml:space="preserve">Miya Hampton</t>
  </si>
  <si>
    <t xml:space="preserve">Atq -405</t>
  </si>
  <si>
    <t xml:space="preserve">Sofia Solis</t>
  </si>
  <si>
    <t xml:space="preserve">Atq -440</t>
  </si>
  <si>
    <t xml:space="preserve">Mckayla Parker</t>
  </si>
  <si>
    <t xml:space="preserve">Madelynn Gray</t>
  </si>
  <si>
    <t xml:space="preserve">Atq -343</t>
  </si>
  <si>
    <t xml:space="preserve">Myla Klein</t>
  </si>
  <si>
    <t xml:space="preserve">Atq -334</t>
  </si>
  <si>
    <t xml:space="preserve">Boston Morse</t>
  </si>
  <si>
    <t xml:space="preserve">Atq -446</t>
  </si>
  <si>
    <t xml:space="preserve">April Ayers</t>
  </si>
  <si>
    <t xml:space="preserve">Faith Hamilton</t>
  </si>
  <si>
    <t xml:space="preserve">Atq -393</t>
  </si>
  <si>
    <t xml:space="preserve">Janelle Raymond</t>
  </si>
  <si>
    <t xml:space="preserve">Atq -396</t>
  </si>
  <si>
    <t xml:space="preserve">Joel Cruz</t>
  </si>
  <si>
    <t xml:space="preserve">Atq -459</t>
  </si>
  <si>
    <t xml:space="preserve">Iris Woodard</t>
  </si>
  <si>
    <t xml:space="preserve">Atq -349</t>
  </si>
  <si>
    <t xml:space="preserve">Trystan Ortega</t>
  </si>
  <si>
    <t xml:space="preserve">Miles Fields</t>
  </si>
  <si>
    <t xml:space="preserve">Atq -423</t>
  </si>
  <si>
    <t xml:space="preserve">Rodrigo Price</t>
  </si>
  <si>
    <t xml:space="preserve">Atq -370</t>
  </si>
  <si>
    <t xml:space="preserve">Ella Roth</t>
  </si>
  <si>
    <t xml:space="preserve">Atq -433</t>
  </si>
  <si>
    <t xml:space="preserve">Jayce Fuentes</t>
  </si>
  <si>
    <t xml:space="preserve">Atq -375</t>
  </si>
  <si>
    <t xml:space="preserve">Hailee Fitzpatrick</t>
  </si>
  <si>
    <t xml:space="preserve">Atq -475</t>
  </si>
  <si>
    <t xml:space="preserve">Rey Novak</t>
  </si>
  <si>
    <t xml:space="preserve">Atq -368</t>
  </si>
  <si>
    <t xml:space="preserve">Macie Callahan</t>
  </si>
  <si>
    <t xml:space="preserve">Atq -468</t>
  </si>
  <si>
    <t xml:space="preserve">Xiomara Ruiz</t>
  </si>
  <si>
    <t xml:space="preserve">Atq -348</t>
  </si>
  <si>
    <t xml:space="preserve">Weston Horton</t>
  </si>
  <si>
    <t xml:space="preserve">Atq -435</t>
  </si>
  <si>
    <t xml:space="preserve">Dean Mclaughlin</t>
  </si>
  <si>
    <t xml:space="preserve">Atq -331</t>
  </si>
  <si>
    <t xml:space="preserve">Jonah Hamilton</t>
  </si>
  <si>
    <t xml:space="preserve">Atq -426</t>
  </si>
  <si>
    <t xml:space="preserve">Roman Colon</t>
  </si>
  <si>
    <t xml:space="preserve">Chris Frye</t>
  </si>
  <si>
    <t xml:space="preserve">London Kim</t>
  </si>
  <si>
    <t xml:space="preserve">Kenley Marsh</t>
  </si>
  <si>
    <t xml:space="preserve">Atq -456</t>
  </si>
  <si>
    <t xml:space="preserve">Adriel Pace</t>
  </si>
  <si>
    <t xml:space="preserve">Atq -385</t>
  </si>
  <si>
    <t xml:space="preserve">Jase Ingram</t>
  </si>
  <si>
    <t xml:space="preserve">Atq -484</t>
  </si>
  <si>
    <t xml:space="preserve">Adyson Moyer</t>
  </si>
  <si>
    <t xml:space="preserve">Salvatore Hendrix</t>
  </si>
  <si>
    <t xml:space="preserve">Atq -412</t>
  </si>
  <si>
    <t xml:space="preserve">Tucker Austin</t>
  </si>
  <si>
    <t xml:space="preserve">Atq -472</t>
  </si>
  <si>
    <t xml:space="preserve">Cristofer Bernard</t>
  </si>
  <si>
    <t xml:space="preserve">Karma Reeves</t>
  </si>
  <si>
    <t xml:space="preserve">Esperanza Irwin</t>
  </si>
  <si>
    <t xml:space="preserve">Atq -428</t>
  </si>
  <si>
    <t xml:space="preserve">Ciara Allison</t>
  </si>
  <si>
    <t xml:space="preserve">Demarcus Gordon</t>
  </si>
  <si>
    <t xml:space="preserve">Atq -432</t>
  </si>
  <si>
    <t xml:space="preserve">Ryann Guerrero</t>
  </si>
  <si>
    <t xml:space="preserve">Atq -421</t>
  </si>
  <si>
    <t xml:space="preserve">Rylee Mullins</t>
  </si>
  <si>
    <t xml:space="preserve">Atq -485</t>
  </si>
  <si>
    <t xml:space="preserve">Gregory Carr</t>
  </si>
  <si>
    <t xml:space="preserve">Atq -452</t>
  </si>
  <si>
    <t xml:space="preserve">Ayanna Atkins</t>
  </si>
  <si>
    <t xml:space="preserve">Atq -367</t>
  </si>
  <si>
    <t xml:space="preserve">Briley Orr</t>
  </si>
  <si>
    <t xml:space="preserve">Emma Freeman</t>
  </si>
  <si>
    <t xml:space="preserve">Atq -403</t>
  </si>
  <si>
    <t xml:space="preserve">Will Mahoney</t>
  </si>
  <si>
    <t xml:space="preserve">Atq -414</t>
  </si>
  <si>
    <t xml:space="preserve">Titus Andersen</t>
  </si>
  <si>
    <t xml:space="preserve">Atq -418</t>
  </si>
  <si>
    <t xml:space="preserve">Marquis Wyatt</t>
  </si>
  <si>
    <t xml:space="preserve">Atq -408</t>
  </si>
  <si>
    <t xml:space="preserve">Nick Orozco</t>
  </si>
  <si>
    <t xml:space="preserve">Atq -382</t>
  </si>
  <si>
    <t xml:space="preserve">Gustavo Ritter</t>
  </si>
  <si>
    <t xml:space="preserve">Atq -373</t>
  </si>
  <si>
    <t xml:space="preserve">Isiah Small</t>
  </si>
  <si>
    <t xml:space="preserve">Hillary Kirk</t>
  </si>
  <si>
    <t xml:space="preserve">Atq -376</t>
  </si>
  <si>
    <t xml:space="preserve">Dominique Benjamin</t>
  </si>
  <si>
    <t xml:space="preserve">Atq -453</t>
  </si>
  <si>
    <t xml:space="preserve">Nehemiah Diaz</t>
  </si>
  <si>
    <t xml:space="preserve">Atq -461</t>
  </si>
  <si>
    <t xml:space="preserve">Josh Sharp</t>
  </si>
  <si>
    <t xml:space="preserve">Andrew Cummings</t>
  </si>
  <si>
    <t xml:space="preserve">Atq -430</t>
  </si>
  <si>
    <t xml:space="preserve">Maximus Mckenzie</t>
  </si>
  <si>
    <t xml:space="preserve">Atq -387</t>
  </si>
  <si>
    <t xml:space="preserve">Konner Henson</t>
  </si>
  <si>
    <t xml:space="preserve">Finnegan Gilbert</t>
  </si>
  <si>
    <t xml:space="preserve">Atq -455</t>
  </si>
  <si>
    <t xml:space="preserve">Caylee Meadows</t>
  </si>
  <si>
    <t xml:space="preserve">Atq -470</t>
  </si>
  <si>
    <t xml:space="preserve">Jovani Pope</t>
  </si>
  <si>
    <t xml:space="preserve">Atq -374</t>
  </si>
  <si>
    <t xml:space="preserve">Kaley Fitzpatrick</t>
  </si>
  <si>
    <t xml:space="preserve">Atq -369</t>
  </si>
  <si>
    <t xml:space="preserve">Greta Horton</t>
  </si>
  <si>
    <t xml:space="preserve">Atq -372</t>
  </si>
  <si>
    <t xml:space="preserve">Miley Combs</t>
  </si>
  <si>
    <t xml:space="preserve">Atq -437</t>
  </si>
  <si>
    <t xml:space="preserve">Dallas Weeks</t>
  </si>
  <si>
    <t xml:space="preserve">Atq -400</t>
  </si>
  <si>
    <t xml:space="preserve">Chad Macias</t>
  </si>
  <si>
    <t xml:space="preserve">Atq -458</t>
  </si>
  <si>
    <t xml:space="preserve">Jessie Carrillo</t>
  </si>
  <si>
    <t xml:space="preserve">May 2022</t>
  </si>
  <si>
    <t xml:space="preserve">Samuel Murray</t>
  </si>
  <si>
    <t xml:space="preserve">Quincy Mendez</t>
  </si>
  <si>
    <t xml:space="preserve">Atq -448</t>
  </si>
  <si>
    <t xml:space="preserve">Athena Rios</t>
  </si>
  <si>
    <t xml:space="preserve">Atq -364</t>
  </si>
  <si>
    <t xml:space="preserve">Keaton Nixon</t>
  </si>
  <si>
    <t xml:space="preserve">Atq -371</t>
  </si>
  <si>
    <t xml:space="preserve">Kayleigh Kennedy</t>
  </si>
  <si>
    <t xml:space="preserve">Aditya Walls</t>
  </si>
  <si>
    <t xml:space="preserve">Atq -476</t>
  </si>
  <si>
    <t xml:space="preserve">Kane Malone</t>
  </si>
  <si>
    <t xml:space="preserve">Atq -362</t>
  </si>
  <si>
    <t xml:space="preserve">Kiana Mcmillan</t>
  </si>
  <si>
    <t xml:space="preserve">Isabella Pittman</t>
  </si>
  <si>
    <t xml:space="preserve">Shea Zuniga</t>
  </si>
  <si>
    <t xml:space="preserve">Mckayla Miles</t>
  </si>
  <si>
    <t xml:space="preserve">Atq -389</t>
  </si>
  <si>
    <t xml:space="preserve">Julien Hamilton</t>
  </si>
  <si>
    <t xml:space="preserve">June 2022</t>
  </si>
  <si>
    <t xml:space="preserve">Atq -361</t>
  </si>
  <si>
    <t xml:space="preserve">Makai Hardy</t>
  </si>
  <si>
    <t xml:space="preserve">Leslie Navarro</t>
  </si>
  <si>
    <t xml:space="preserve">Atq -401</t>
  </si>
  <si>
    <t xml:space="preserve">Piper Carroll</t>
  </si>
  <si>
    <t xml:space="preserve">Atq -350</t>
  </si>
  <si>
    <t xml:space="preserve">Alexander Davenport</t>
  </si>
  <si>
    <t xml:space="preserve">Jaime Ritter</t>
  </si>
  <si>
    <t xml:space="preserve">Charity Singleton</t>
  </si>
  <si>
    <t xml:space="preserve">Alyson Huber</t>
  </si>
  <si>
    <t xml:space="preserve">Zaiden Wheeler</t>
  </si>
  <si>
    <t xml:space="preserve">HR Attendance Dashboard — AtliQ (Apr-Jun 2022)</t>
  </si>
  <si>
    <t xml:space="preserve">Source: RawData sheet (74 employees x 3 months = 222 records) — all figures are live formulas</t>
  </si>
  <si>
    <t xml:space="preserve">Employees Tracked</t>
  </si>
  <si>
    <t xml:space="preserve">Avg Days Present/Mo</t>
  </si>
  <si>
    <t xml:space="preserve">Avg WFH Days/Mo</t>
  </si>
  <si>
    <t xml:space="preserve">Total Paid Leave Days</t>
  </si>
  <si>
    <t xml:space="preserve">Total Sick Leave Days</t>
  </si>
  <si>
    <t xml:space="preserve">Total Unpaid Leave Days</t>
  </si>
  <si>
    <t xml:space="preserve">Monthly Attendance Trend</t>
  </si>
  <si>
    <t xml:space="preserve">Avg Present</t>
  </si>
  <si>
    <t xml:space="preserve">Avg WFH</t>
  </si>
  <si>
    <t xml:space="preserve">Avg Paid Leave</t>
  </si>
  <si>
    <t xml:space="preserve">Avg Sick Leave</t>
  </si>
  <si>
    <t xml:space="preserve">Avg Unpaid Leave</t>
  </si>
  <si>
    <t xml:space="preserve">Top 10 Employees by Total Leave (Apr-Jun 2022)</t>
  </si>
  <si>
    <t xml:space="preserve">Rank</t>
  </si>
  <si>
    <t xml:space="preserve">Employee</t>
  </si>
  <si>
    <t xml:space="preserve">Total Paid+Sick+Unpaid Leave</t>
  </si>
  <si>
    <t xml:space="preserve">Note: KPI cards and trend table use live SUMIF/AVERAGEIF/SUMPRODUCT formulas referencing RawData. Top-10 ranking order is fixed (computed once from the source data) but each leave total still recalculates live via SUMIF. Source: AtliQ attendance workbook, consolidated via /python/consolidate_attendance.py.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</si>
</sst>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2E7D5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2E7D5B"/>
      <name val="Arial"/>
      <family val="0"/>
      <charset val="1"/>
    </font>
    <font>
      <b val="true"/>
      <sz val="12"/>
      <color rgb="FF2E7D5B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5B"/>
        <bgColor rgb="FF008080"/>
      </patternFill>
    </fill>
    <fill>
      <patternFill patternType="solid">
        <fgColor rgb="FFE9F5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F5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n">
        <v>21</v>
      </c>
      <c r="E2" s="0" t="n">
        <v>21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9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17</v>
      </c>
      <c r="D3" s="0" t="n">
        <v>21</v>
      </c>
      <c r="E3" s="0" t="n">
        <v>21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9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17</v>
      </c>
      <c r="D4" s="0" t="n">
        <v>21</v>
      </c>
      <c r="E4" s="0" t="n">
        <v>20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9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17</v>
      </c>
      <c r="D5" s="0" t="n">
        <v>15</v>
      </c>
      <c r="E5" s="0" t="n">
        <v>12</v>
      </c>
      <c r="F5" s="0" t="n">
        <v>3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9</v>
      </c>
      <c r="N5" s="0" t="n">
        <v>0</v>
      </c>
      <c r="O5" s="0" t="n">
        <v>1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17</v>
      </c>
      <c r="D6" s="0" t="n">
        <v>21</v>
      </c>
      <c r="E6" s="0" t="n">
        <v>21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9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17</v>
      </c>
      <c r="D7" s="0" t="n">
        <v>20</v>
      </c>
      <c r="E7" s="0" t="n">
        <v>20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9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17</v>
      </c>
      <c r="D8" s="0" t="n">
        <v>21</v>
      </c>
      <c r="E8" s="0" t="n">
        <v>21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9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17</v>
      </c>
      <c r="D9" s="0" t="n">
        <v>18</v>
      </c>
      <c r="E9" s="0" t="n">
        <v>18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9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17</v>
      </c>
      <c r="D10" s="0" t="n">
        <v>15.5</v>
      </c>
      <c r="E10" s="0" t="n">
        <v>15.5</v>
      </c>
      <c r="F10" s="0" t="n">
        <v>0</v>
      </c>
      <c r="G10" s="0" t="n">
        <v>4.5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9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17</v>
      </c>
      <c r="D11" s="0" t="n">
        <v>20</v>
      </c>
      <c r="E11" s="0" t="n">
        <v>19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9</v>
      </c>
      <c r="N11" s="0" t="n">
        <v>0</v>
      </c>
      <c r="O11" s="0" t="n">
        <v>1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17</v>
      </c>
      <c r="D12" s="0" t="n">
        <v>21</v>
      </c>
      <c r="E12" s="0" t="n">
        <v>21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9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17</v>
      </c>
      <c r="D13" s="0" t="n">
        <v>21</v>
      </c>
      <c r="E13" s="0" t="n">
        <v>20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9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17</v>
      </c>
      <c r="D14" s="0" t="n">
        <v>20</v>
      </c>
      <c r="E14" s="0" t="n">
        <v>18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9</v>
      </c>
      <c r="N14" s="0" t="n">
        <v>0</v>
      </c>
      <c r="O14" s="0" t="n">
        <v>0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17</v>
      </c>
      <c r="D15" s="0" t="n">
        <v>20.5</v>
      </c>
      <c r="E15" s="0" t="n">
        <v>19.5</v>
      </c>
      <c r="F15" s="0" t="n">
        <v>1</v>
      </c>
      <c r="G15" s="0" t="n">
        <v>0</v>
      </c>
      <c r="H15" s="0" t="n">
        <v>0.5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9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44</v>
      </c>
      <c r="B16" s="0" t="s">
        <v>45</v>
      </c>
      <c r="C16" s="0" t="s">
        <v>17</v>
      </c>
      <c r="D16" s="0" t="n">
        <v>20</v>
      </c>
      <c r="E16" s="0" t="n">
        <v>19.5</v>
      </c>
      <c r="F16" s="0" t="n">
        <v>0.5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9</v>
      </c>
      <c r="N16" s="0" t="n">
        <v>0</v>
      </c>
      <c r="O16" s="0" t="n">
        <v>0.5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17</v>
      </c>
      <c r="D17" s="0" t="n">
        <v>20.5</v>
      </c>
      <c r="E17" s="0" t="n">
        <v>20.5</v>
      </c>
      <c r="F17" s="0" t="n">
        <v>0</v>
      </c>
      <c r="G17" s="0" t="n">
        <v>0.5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9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48</v>
      </c>
      <c r="B18" s="0" t="s">
        <v>49</v>
      </c>
      <c r="C18" s="0" t="s">
        <v>17</v>
      </c>
      <c r="D18" s="0" t="n">
        <v>19</v>
      </c>
      <c r="E18" s="0" t="n">
        <v>19</v>
      </c>
      <c r="F18" s="0" t="n">
        <v>0</v>
      </c>
      <c r="G18" s="0" t="n">
        <v>0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9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36</v>
      </c>
      <c r="B19" s="0" t="s">
        <v>50</v>
      </c>
      <c r="C19" s="0" t="s">
        <v>17</v>
      </c>
      <c r="D19" s="0" t="n">
        <v>15</v>
      </c>
      <c r="E19" s="0" t="n">
        <v>14</v>
      </c>
      <c r="F19" s="0" t="n">
        <v>1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9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51</v>
      </c>
      <c r="B20" s="0" t="s">
        <v>52</v>
      </c>
      <c r="C20" s="0" t="s">
        <v>17</v>
      </c>
      <c r="D20" s="0" t="n">
        <v>20</v>
      </c>
      <c r="E20" s="0" t="n">
        <v>20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9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s">
        <v>17</v>
      </c>
      <c r="D21" s="0" t="n">
        <v>21</v>
      </c>
      <c r="E21" s="0" t="n">
        <v>21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9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17</v>
      </c>
      <c r="D22" s="0" t="n">
        <v>20</v>
      </c>
      <c r="E22" s="0" t="n">
        <v>20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9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40</v>
      </c>
      <c r="B23" s="0" t="s">
        <v>57</v>
      </c>
      <c r="C23" s="0" t="s">
        <v>17</v>
      </c>
      <c r="D23" s="0" t="n">
        <v>20</v>
      </c>
      <c r="E23" s="0" t="n">
        <v>20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9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58</v>
      </c>
      <c r="B24" s="0" t="s">
        <v>59</v>
      </c>
      <c r="C24" s="0" t="s">
        <v>17</v>
      </c>
      <c r="D24" s="0" t="n">
        <v>8</v>
      </c>
      <c r="E24" s="0" t="n">
        <v>8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9</v>
      </c>
      <c r="N24" s="0" t="n">
        <v>0</v>
      </c>
      <c r="O24" s="0" t="n">
        <v>0.5</v>
      </c>
    </row>
    <row r="25" customFormat="false" ht="15" hidden="false" customHeight="false" outlineLevel="0" collapsed="false">
      <c r="A25" s="0" t="s">
        <v>60</v>
      </c>
      <c r="B25" s="0" t="s">
        <v>61</v>
      </c>
      <c r="C25" s="0" t="s">
        <v>17</v>
      </c>
      <c r="D25" s="0" t="n">
        <v>21</v>
      </c>
      <c r="E25" s="0" t="n">
        <v>1</v>
      </c>
      <c r="F25" s="0" t="n">
        <v>20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9</v>
      </c>
      <c r="N25" s="0" t="n">
        <v>0</v>
      </c>
      <c r="O25" s="0" t="n">
        <v>0.5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0" t="s">
        <v>17</v>
      </c>
      <c r="D26" s="0" t="n">
        <v>20</v>
      </c>
      <c r="E26" s="0" t="n">
        <v>20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9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64</v>
      </c>
      <c r="B27" s="0" t="s">
        <v>65</v>
      </c>
      <c r="C27" s="0" t="s">
        <v>17</v>
      </c>
      <c r="D27" s="0" t="n">
        <v>19.5</v>
      </c>
      <c r="E27" s="0" t="n">
        <v>19.5</v>
      </c>
      <c r="F27" s="0" t="n">
        <v>0</v>
      </c>
      <c r="G27" s="0" t="n">
        <v>1.5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9</v>
      </c>
      <c r="N27" s="0" t="n">
        <v>0</v>
      </c>
      <c r="O27" s="0" t="n">
        <v>1</v>
      </c>
    </row>
    <row r="28" customFormat="false" ht="15" hidden="false" customHeight="false" outlineLevel="0" collapsed="false">
      <c r="A28" s="0" t="s">
        <v>24</v>
      </c>
      <c r="B28" s="0" t="s">
        <v>66</v>
      </c>
      <c r="C28" s="0" t="s">
        <v>17</v>
      </c>
      <c r="D28" s="0" t="n">
        <v>21</v>
      </c>
      <c r="E28" s="0" t="n">
        <v>21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9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67</v>
      </c>
      <c r="B29" s="0" t="s">
        <v>68</v>
      </c>
      <c r="C29" s="0" t="s">
        <v>17</v>
      </c>
      <c r="D29" s="0" t="n">
        <v>21</v>
      </c>
      <c r="E29" s="0" t="n">
        <v>21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9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69</v>
      </c>
      <c r="B30" s="0" t="s">
        <v>70</v>
      </c>
      <c r="C30" s="0" t="s">
        <v>17</v>
      </c>
      <c r="D30" s="0" t="n">
        <v>19.5</v>
      </c>
      <c r="E30" s="0" t="n">
        <v>17.5</v>
      </c>
      <c r="F30" s="0" t="n">
        <v>2</v>
      </c>
      <c r="G30" s="0" t="n">
        <v>0.5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9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s">
        <v>17</v>
      </c>
      <c r="D31" s="0" t="n">
        <v>21</v>
      </c>
      <c r="E31" s="0" t="n">
        <v>21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9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73</v>
      </c>
      <c r="B32" s="0" t="s">
        <v>74</v>
      </c>
      <c r="C32" s="0" t="s">
        <v>17</v>
      </c>
      <c r="D32" s="0" t="n">
        <v>21</v>
      </c>
      <c r="E32" s="0" t="n">
        <v>21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9</v>
      </c>
      <c r="N32" s="0" t="n">
        <v>0</v>
      </c>
      <c r="O32" s="0" t="n">
        <v>1</v>
      </c>
    </row>
    <row r="33" customFormat="false" ht="15" hidden="false" customHeight="false" outlineLevel="0" collapsed="false">
      <c r="A33" s="0" t="s">
        <v>75</v>
      </c>
      <c r="B33" s="0" t="s">
        <v>76</v>
      </c>
      <c r="C33" s="0" t="s">
        <v>17</v>
      </c>
      <c r="D33" s="0" t="n">
        <v>21</v>
      </c>
      <c r="E33" s="0" t="n">
        <v>21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9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s">
        <v>77</v>
      </c>
      <c r="B34" s="0" t="s">
        <v>78</v>
      </c>
      <c r="C34" s="0" t="s">
        <v>17</v>
      </c>
      <c r="D34" s="0" t="n">
        <v>20.5</v>
      </c>
      <c r="E34" s="0" t="n">
        <v>18.5</v>
      </c>
      <c r="F34" s="0" t="n">
        <v>2</v>
      </c>
      <c r="G34" s="0" t="n">
        <v>0</v>
      </c>
      <c r="H34" s="0" t="n">
        <v>0.5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9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0" t="s">
        <v>79</v>
      </c>
      <c r="B35" s="0" t="s">
        <v>80</v>
      </c>
      <c r="C35" s="0" t="s">
        <v>17</v>
      </c>
      <c r="D35" s="0" t="n">
        <v>20</v>
      </c>
      <c r="E35" s="0" t="n">
        <v>20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9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81</v>
      </c>
      <c r="B36" s="0" t="s">
        <v>82</v>
      </c>
      <c r="C36" s="0" t="s">
        <v>17</v>
      </c>
      <c r="D36" s="0" t="n">
        <v>19</v>
      </c>
      <c r="E36" s="0" t="n">
        <v>19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9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83</v>
      </c>
      <c r="B37" s="0" t="s">
        <v>84</v>
      </c>
      <c r="C37" s="0" t="s">
        <v>17</v>
      </c>
      <c r="D37" s="0" t="n">
        <v>20</v>
      </c>
      <c r="E37" s="0" t="n">
        <v>20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9</v>
      </c>
      <c r="N37" s="0" t="n">
        <v>0</v>
      </c>
      <c r="O37" s="0" t="n">
        <v>1</v>
      </c>
    </row>
    <row r="38" customFormat="false" ht="15" hidden="false" customHeight="false" outlineLevel="0" collapsed="false">
      <c r="A38" s="0" t="s">
        <v>85</v>
      </c>
      <c r="B38" s="0" t="s">
        <v>86</v>
      </c>
      <c r="C38" s="0" t="s">
        <v>17</v>
      </c>
      <c r="D38" s="0" t="n">
        <v>17.5</v>
      </c>
      <c r="E38" s="0" t="n">
        <v>15.5</v>
      </c>
      <c r="F38" s="0" t="n">
        <v>2</v>
      </c>
      <c r="G38" s="0" t="n">
        <v>2.5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9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87</v>
      </c>
      <c r="B39" s="0" t="s">
        <v>88</v>
      </c>
      <c r="C39" s="0" t="s">
        <v>17</v>
      </c>
      <c r="D39" s="0" t="n">
        <v>6</v>
      </c>
      <c r="E39" s="0" t="n">
        <v>5</v>
      </c>
      <c r="F39" s="0" t="n">
        <v>1</v>
      </c>
      <c r="G39" s="0" t="n">
        <v>0.5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0.5</v>
      </c>
      <c r="M39" s="0" t="n">
        <v>9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46</v>
      </c>
      <c r="B40" s="0" t="s">
        <v>89</v>
      </c>
      <c r="C40" s="0" t="s">
        <v>17</v>
      </c>
      <c r="D40" s="0" t="n">
        <v>20</v>
      </c>
      <c r="E40" s="0" t="n">
        <v>12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9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75</v>
      </c>
      <c r="B41" s="0" t="s">
        <v>90</v>
      </c>
      <c r="C41" s="0" t="s">
        <v>17</v>
      </c>
      <c r="D41" s="0" t="n">
        <v>20</v>
      </c>
      <c r="E41" s="0" t="n">
        <v>20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9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73</v>
      </c>
      <c r="B42" s="0" t="s">
        <v>91</v>
      </c>
      <c r="C42" s="0" t="s">
        <v>17</v>
      </c>
      <c r="D42" s="0" t="n">
        <v>19.5</v>
      </c>
      <c r="E42" s="0" t="n">
        <v>19.5</v>
      </c>
      <c r="F42" s="0" t="n">
        <v>0</v>
      </c>
      <c r="G42" s="0" t="n">
        <v>1.5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9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92</v>
      </c>
      <c r="B43" s="0" t="s">
        <v>93</v>
      </c>
      <c r="C43" s="0" t="s">
        <v>17</v>
      </c>
      <c r="D43" s="0" t="n">
        <v>21</v>
      </c>
      <c r="E43" s="0" t="n">
        <v>21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9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94</v>
      </c>
      <c r="B44" s="0" t="s">
        <v>95</v>
      </c>
      <c r="C44" s="0" t="s">
        <v>17</v>
      </c>
      <c r="D44" s="0" t="n">
        <v>19.5</v>
      </c>
      <c r="E44" s="0" t="n">
        <v>19.5</v>
      </c>
      <c r="F44" s="0" t="n">
        <v>0</v>
      </c>
      <c r="G44" s="0" t="n">
        <v>1.5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9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96</v>
      </c>
      <c r="B45" s="0" t="s">
        <v>97</v>
      </c>
      <c r="C45" s="0" t="s">
        <v>17</v>
      </c>
      <c r="D45" s="0" t="n">
        <v>21</v>
      </c>
      <c r="E45" s="0" t="n">
        <v>20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9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22</v>
      </c>
      <c r="B46" s="0" t="s">
        <v>98</v>
      </c>
      <c r="C46" s="0" t="s">
        <v>17</v>
      </c>
      <c r="D46" s="0" t="n">
        <v>19</v>
      </c>
      <c r="E46" s="0" t="n">
        <v>19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9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99</v>
      </c>
      <c r="B47" s="0" t="s">
        <v>100</v>
      </c>
      <c r="C47" s="0" t="s">
        <v>17</v>
      </c>
      <c r="D47" s="0" t="n">
        <v>20</v>
      </c>
      <c r="E47" s="0" t="n">
        <v>20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9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101</v>
      </c>
      <c r="B48" s="0" t="s">
        <v>102</v>
      </c>
      <c r="C48" s="0" t="s">
        <v>17</v>
      </c>
      <c r="D48" s="0" t="n">
        <v>21</v>
      </c>
      <c r="E48" s="0" t="n">
        <v>21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9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60</v>
      </c>
      <c r="B49" s="0" t="s">
        <v>103</v>
      </c>
      <c r="C49" s="0" t="s">
        <v>17</v>
      </c>
      <c r="D49" s="0" t="n">
        <v>20</v>
      </c>
      <c r="E49" s="0" t="n">
        <v>20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9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42</v>
      </c>
      <c r="B50" s="0" t="s">
        <v>104</v>
      </c>
      <c r="C50" s="0" t="s">
        <v>17</v>
      </c>
      <c r="D50" s="0" t="n">
        <v>21</v>
      </c>
      <c r="E50" s="0" t="n">
        <v>21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9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105</v>
      </c>
      <c r="B51" s="0" t="s">
        <v>106</v>
      </c>
      <c r="C51" s="0" t="s">
        <v>17</v>
      </c>
      <c r="D51" s="0" t="n">
        <v>17</v>
      </c>
      <c r="E51" s="0" t="n">
        <v>17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9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96</v>
      </c>
      <c r="B52" s="0" t="s">
        <v>107</v>
      </c>
      <c r="C52" s="0" t="s">
        <v>17</v>
      </c>
      <c r="D52" s="0" t="n">
        <v>19</v>
      </c>
      <c r="E52" s="0" t="n">
        <v>19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9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108</v>
      </c>
      <c r="B53" s="0" t="s">
        <v>109</v>
      </c>
      <c r="C53" s="0" t="s">
        <v>17</v>
      </c>
      <c r="D53" s="0" t="n">
        <v>20</v>
      </c>
      <c r="E53" s="0" t="n">
        <v>20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9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110</v>
      </c>
      <c r="B54" s="0" t="s">
        <v>111</v>
      </c>
      <c r="C54" s="0" t="s">
        <v>17</v>
      </c>
      <c r="D54" s="0" t="n">
        <v>20</v>
      </c>
      <c r="E54" s="0" t="n">
        <v>20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9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112</v>
      </c>
      <c r="B55" s="0" t="s">
        <v>113</v>
      </c>
      <c r="C55" s="0" t="s">
        <v>17</v>
      </c>
      <c r="D55" s="0" t="n">
        <v>11</v>
      </c>
      <c r="E55" s="0" t="n">
        <v>0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10</v>
      </c>
      <c r="M55" s="0" t="n">
        <v>9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114</v>
      </c>
      <c r="B56" s="0" t="s">
        <v>115</v>
      </c>
      <c r="C56" s="0" t="s">
        <v>17</v>
      </c>
      <c r="D56" s="0" t="n">
        <v>21</v>
      </c>
      <c r="E56" s="0" t="n">
        <v>20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9</v>
      </c>
      <c r="N56" s="0" t="n">
        <v>0</v>
      </c>
      <c r="O56" s="0" t="n">
        <v>1</v>
      </c>
    </row>
    <row r="57" customFormat="false" ht="15" hidden="false" customHeight="false" outlineLevel="0" collapsed="false">
      <c r="A57" s="0" t="s">
        <v>116</v>
      </c>
      <c r="B57" s="0" t="s">
        <v>117</v>
      </c>
      <c r="C57" s="0" t="s">
        <v>17</v>
      </c>
      <c r="D57" s="0" t="n">
        <v>21</v>
      </c>
      <c r="E57" s="0" t="n">
        <v>20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58</v>
      </c>
      <c r="B58" s="0" t="s">
        <v>118</v>
      </c>
      <c r="C58" s="0" t="s">
        <v>17</v>
      </c>
      <c r="D58" s="0" t="n">
        <v>20</v>
      </c>
      <c r="E58" s="0" t="n">
        <v>17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9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119</v>
      </c>
      <c r="B59" s="0" t="s">
        <v>120</v>
      </c>
      <c r="C59" s="0" t="s">
        <v>17</v>
      </c>
      <c r="D59" s="0" t="n">
        <v>18</v>
      </c>
      <c r="E59" s="0" t="n">
        <v>18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9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0" t="s">
        <v>17</v>
      </c>
      <c r="D60" s="0" t="n">
        <v>21</v>
      </c>
      <c r="E60" s="0" t="n">
        <v>21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9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123</v>
      </c>
      <c r="B61" s="0" t="s">
        <v>124</v>
      </c>
      <c r="C61" s="0" t="s">
        <v>17</v>
      </c>
      <c r="D61" s="0" t="n">
        <v>21</v>
      </c>
      <c r="E61" s="0" t="n">
        <v>21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9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125</v>
      </c>
      <c r="B62" s="0" t="s">
        <v>126</v>
      </c>
      <c r="C62" s="0" t="s">
        <v>17</v>
      </c>
      <c r="D62" s="0" t="n">
        <v>19</v>
      </c>
      <c r="E62" s="0" t="n">
        <v>16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9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127</v>
      </c>
      <c r="B63" s="0" t="s">
        <v>128</v>
      </c>
      <c r="C63" s="0" t="s">
        <v>17</v>
      </c>
      <c r="D63" s="0" t="n">
        <v>21</v>
      </c>
      <c r="E63" s="0" t="n">
        <v>0</v>
      </c>
      <c r="F63" s="0" t="n">
        <v>21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9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s">
        <v>17</v>
      </c>
      <c r="D64" s="0" t="n">
        <v>21</v>
      </c>
      <c r="E64" s="0" t="n">
        <v>21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9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123</v>
      </c>
      <c r="B65" s="0" t="s">
        <v>131</v>
      </c>
      <c r="C65" s="0" t="s">
        <v>17</v>
      </c>
      <c r="D65" s="0" t="n">
        <v>20</v>
      </c>
      <c r="E65" s="0" t="n">
        <v>20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9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132</v>
      </c>
      <c r="B66" s="0" t="s">
        <v>133</v>
      </c>
      <c r="C66" s="0" t="s">
        <v>17</v>
      </c>
      <c r="D66" s="0" t="n">
        <v>21</v>
      </c>
      <c r="E66" s="0" t="n">
        <v>21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9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134</v>
      </c>
      <c r="B67" s="0" t="s">
        <v>135</v>
      </c>
      <c r="C67" s="0" t="s">
        <v>17</v>
      </c>
      <c r="D67" s="0" t="n">
        <v>21</v>
      </c>
      <c r="E67" s="0" t="n">
        <v>21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9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136</v>
      </c>
      <c r="B68" s="0" t="s">
        <v>137</v>
      </c>
      <c r="C68" s="0" t="s">
        <v>17</v>
      </c>
      <c r="D68" s="0" t="n">
        <v>15</v>
      </c>
      <c r="E68" s="0" t="n">
        <v>15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9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38</v>
      </c>
      <c r="B69" s="0" t="s">
        <v>138</v>
      </c>
      <c r="C69" s="0" t="s">
        <v>17</v>
      </c>
      <c r="D69" s="0" t="n">
        <v>20</v>
      </c>
      <c r="E69" s="0" t="n">
        <v>12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9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139</v>
      </c>
      <c r="B70" s="0" t="s">
        <v>140</v>
      </c>
      <c r="C70" s="0" t="s">
        <v>17</v>
      </c>
      <c r="D70" s="0" t="n">
        <v>21</v>
      </c>
      <c r="E70" s="0" t="n">
        <v>0</v>
      </c>
      <c r="F70" s="0" t="n">
        <v>21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9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s">
        <v>141</v>
      </c>
      <c r="B71" s="0" t="s">
        <v>142</v>
      </c>
      <c r="C71" s="0" t="s">
        <v>17</v>
      </c>
      <c r="D71" s="0" t="n">
        <v>20</v>
      </c>
      <c r="E71" s="0" t="n">
        <v>20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9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94</v>
      </c>
      <c r="B72" s="0" t="s">
        <v>143</v>
      </c>
      <c r="C72" s="0" t="s">
        <v>17</v>
      </c>
      <c r="D72" s="0" t="n">
        <v>21</v>
      </c>
      <c r="E72" s="0" t="n">
        <v>19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9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144</v>
      </c>
      <c r="B73" s="0" t="s">
        <v>145</v>
      </c>
      <c r="C73" s="0" t="s">
        <v>17</v>
      </c>
      <c r="D73" s="0" t="n">
        <v>19</v>
      </c>
      <c r="E73" s="0" t="n">
        <v>16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2</v>
      </c>
      <c r="M73" s="0" t="n">
        <v>9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146</v>
      </c>
      <c r="B74" s="0" t="s">
        <v>147</v>
      </c>
      <c r="C74" s="0" t="s">
        <v>17</v>
      </c>
      <c r="D74" s="0" t="n">
        <v>21</v>
      </c>
      <c r="E74" s="0" t="n">
        <v>15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9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148</v>
      </c>
      <c r="B75" s="0" t="s">
        <v>149</v>
      </c>
      <c r="C75" s="0" t="s">
        <v>17</v>
      </c>
      <c r="D75" s="0" t="n">
        <v>21</v>
      </c>
      <c r="E75" s="0" t="n">
        <v>15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9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150</v>
      </c>
      <c r="B76" s="0" t="s">
        <v>151</v>
      </c>
      <c r="C76" s="0" t="s">
        <v>17</v>
      </c>
      <c r="D76" s="0" t="n">
        <v>21</v>
      </c>
      <c r="E76" s="0" t="n">
        <v>20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9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152</v>
      </c>
      <c r="B77" s="0" t="s">
        <v>153</v>
      </c>
      <c r="C77" s="0" t="s">
        <v>17</v>
      </c>
      <c r="D77" s="0" t="n">
        <v>20</v>
      </c>
      <c r="E77" s="0" t="n">
        <v>20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9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154</v>
      </c>
      <c r="B78" s="0" t="s">
        <v>155</v>
      </c>
      <c r="C78" s="0" t="s">
        <v>17</v>
      </c>
      <c r="D78" s="0" t="n">
        <v>21</v>
      </c>
      <c r="E78" s="0" t="n">
        <v>21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9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156</v>
      </c>
      <c r="B79" s="0" t="s">
        <v>157</v>
      </c>
      <c r="C79" s="0" t="s">
        <v>17</v>
      </c>
      <c r="D79" s="0" t="n">
        <v>20</v>
      </c>
      <c r="E79" s="0" t="n">
        <v>16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9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158</v>
      </c>
      <c r="B80" s="0" t="s">
        <v>159</v>
      </c>
      <c r="C80" s="0" t="s">
        <v>17</v>
      </c>
      <c r="D80" s="0" t="n">
        <v>20</v>
      </c>
      <c r="E80" s="0" t="n">
        <v>19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9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15</v>
      </c>
      <c r="B81" s="0" t="s">
        <v>16</v>
      </c>
      <c r="C81" s="0" t="s">
        <v>160</v>
      </c>
      <c r="D81" s="0" t="n">
        <v>22</v>
      </c>
      <c r="E81" s="0" t="n">
        <v>22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8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18</v>
      </c>
      <c r="B82" s="0" t="s">
        <v>19</v>
      </c>
      <c r="C82" s="0" t="s">
        <v>160</v>
      </c>
      <c r="D82" s="0" t="n">
        <v>22</v>
      </c>
      <c r="E82" s="0" t="n">
        <v>22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8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20</v>
      </c>
      <c r="B83" s="0" t="s">
        <v>21</v>
      </c>
      <c r="C83" s="0" t="s">
        <v>160</v>
      </c>
      <c r="D83" s="0" t="n">
        <v>22</v>
      </c>
      <c r="E83" s="0" t="n">
        <v>22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8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22</v>
      </c>
      <c r="B84" s="0" t="s">
        <v>23</v>
      </c>
      <c r="C84" s="0" t="s">
        <v>160</v>
      </c>
      <c r="D84" s="0" t="n">
        <v>21</v>
      </c>
      <c r="E84" s="0" t="n">
        <v>18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8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24</v>
      </c>
      <c r="B85" s="0" t="s">
        <v>25</v>
      </c>
      <c r="C85" s="0" t="s">
        <v>160</v>
      </c>
      <c r="D85" s="0" t="n">
        <v>21</v>
      </c>
      <c r="E85" s="0" t="n">
        <v>21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8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26</v>
      </c>
      <c r="B86" s="0" t="s">
        <v>27</v>
      </c>
      <c r="C86" s="0" t="s">
        <v>160</v>
      </c>
      <c r="D86" s="0" t="n">
        <v>21.5</v>
      </c>
      <c r="E86" s="0" t="n">
        <v>21.5</v>
      </c>
      <c r="F86" s="0" t="n">
        <v>0</v>
      </c>
      <c r="G86" s="0" t="n">
        <v>0.5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8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28</v>
      </c>
      <c r="B87" s="0" t="s">
        <v>29</v>
      </c>
      <c r="C87" s="0" t="s">
        <v>160</v>
      </c>
      <c r="D87" s="0" t="n">
        <v>22</v>
      </c>
      <c r="E87" s="0" t="n">
        <v>21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8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30</v>
      </c>
      <c r="B88" s="0" t="s">
        <v>31</v>
      </c>
      <c r="C88" s="0" t="s">
        <v>160</v>
      </c>
      <c r="D88" s="0" t="n">
        <v>20</v>
      </c>
      <c r="E88" s="0" t="n">
        <v>20</v>
      </c>
      <c r="F88" s="0" t="n">
        <v>0</v>
      </c>
      <c r="G88" s="0" t="n">
        <v>1.5</v>
      </c>
      <c r="H88" s="0" t="n">
        <v>0.5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8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32</v>
      </c>
      <c r="B89" s="0" t="s">
        <v>33</v>
      </c>
      <c r="C89" s="0" t="s">
        <v>160</v>
      </c>
      <c r="D89" s="0" t="n">
        <v>19</v>
      </c>
      <c r="E89" s="0" t="n">
        <v>19</v>
      </c>
      <c r="F89" s="0" t="n">
        <v>0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8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34</v>
      </c>
      <c r="B90" s="0" t="s">
        <v>35</v>
      </c>
      <c r="C90" s="0" t="s">
        <v>160</v>
      </c>
      <c r="D90" s="0" t="n">
        <v>18.5</v>
      </c>
      <c r="E90" s="0" t="n">
        <v>16.5</v>
      </c>
      <c r="F90" s="0" t="n">
        <v>2</v>
      </c>
      <c r="G90" s="0" t="n">
        <v>2.5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</v>
      </c>
      <c r="M90" s="0" t="n">
        <v>8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36</v>
      </c>
      <c r="B91" s="0" t="s">
        <v>37</v>
      </c>
      <c r="C91" s="0" t="s">
        <v>160</v>
      </c>
      <c r="D91" s="0" t="n">
        <v>22</v>
      </c>
      <c r="E91" s="0" t="n">
        <v>22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8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38</v>
      </c>
      <c r="B92" s="0" t="s">
        <v>39</v>
      </c>
      <c r="C92" s="0" t="s">
        <v>160</v>
      </c>
      <c r="D92" s="0" t="n">
        <v>22</v>
      </c>
      <c r="E92" s="0" t="n">
        <v>22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8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40</v>
      </c>
      <c r="B93" s="0" t="s">
        <v>41</v>
      </c>
      <c r="C93" s="0" t="s">
        <v>160</v>
      </c>
      <c r="D93" s="0" t="n">
        <v>6</v>
      </c>
      <c r="E93" s="0" t="n">
        <v>3</v>
      </c>
      <c r="F93" s="0" t="n">
        <v>3</v>
      </c>
      <c r="G93" s="0" t="n">
        <v>15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8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42</v>
      </c>
      <c r="B94" s="0" t="s">
        <v>43</v>
      </c>
      <c r="C94" s="0" t="s">
        <v>160</v>
      </c>
      <c r="D94" s="0" t="n">
        <v>21.5</v>
      </c>
      <c r="E94" s="0" t="n">
        <v>21.5</v>
      </c>
      <c r="F94" s="0" t="n">
        <v>0</v>
      </c>
      <c r="G94" s="0" t="n">
        <v>0.5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8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44</v>
      </c>
      <c r="B95" s="0" t="s">
        <v>45</v>
      </c>
      <c r="C95" s="0" t="s">
        <v>160</v>
      </c>
      <c r="D95" s="0" t="n">
        <v>20</v>
      </c>
      <c r="E95" s="0" t="n">
        <v>19</v>
      </c>
      <c r="F95" s="0" t="n">
        <v>1</v>
      </c>
      <c r="G95" s="0" t="n">
        <v>0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8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46</v>
      </c>
      <c r="B96" s="0" t="s">
        <v>47</v>
      </c>
      <c r="C96" s="0" t="s">
        <v>160</v>
      </c>
      <c r="D96" s="0" t="n">
        <v>20</v>
      </c>
      <c r="E96" s="0" t="n">
        <v>20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8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s">
        <v>48</v>
      </c>
      <c r="B97" s="0" t="s">
        <v>49</v>
      </c>
      <c r="C97" s="0" t="s">
        <v>160</v>
      </c>
      <c r="D97" s="0" t="n">
        <v>20.5</v>
      </c>
      <c r="E97" s="0" t="n">
        <v>19.5</v>
      </c>
      <c r="F97" s="0" t="n">
        <v>1</v>
      </c>
      <c r="G97" s="0" t="n">
        <v>1.5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8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36</v>
      </c>
      <c r="B98" s="0" t="s">
        <v>50</v>
      </c>
      <c r="C98" s="0" t="s">
        <v>160</v>
      </c>
      <c r="D98" s="0" t="n">
        <v>17.5</v>
      </c>
      <c r="E98" s="0" t="n">
        <v>15.5</v>
      </c>
      <c r="F98" s="0" t="n">
        <v>2</v>
      </c>
      <c r="G98" s="0" t="n">
        <v>2</v>
      </c>
      <c r="H98" s="0" t="n">
        <v>2.5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8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51</v>
      </c>
      <c r="B99" s="0" t="s">
        <v>52</v>
      </c>
      <c r="C99" s="0" t="s">
        <v>160</v>
      </c>
      <c r="D99" s="0" t="n">
        <v>18</v>
      </c>
      <c r="E99" s="0" t="n">
        <v>18</v>
      </c>
      <c r="F99" s="0" t="n">
        <v>0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8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53</v>
      </c>
      <c r="B100" s="0" t="s">
        <v>54</v>
      </c>
      <c r="C100" s="0" t="s">
        <v>160</v>
      </c>
      <c r="D100" s="0" t="n">
        <v>20.5</v>
      </c>
      <c r="E100" s="0" t="n">
        <v>20.5</v>
      </c>
      <c r="F100" s="0" t="n">
        <v>0</v>
      </c>
      <c r="G100" s="0" t="n">
        <v>1.5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8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55</v>
      </c>
      <c r="B101" s="0" t="s">
        <v>56</v>
      </c>
      <c r="C101" s="0" t="s">
        <v>160</v>
      </c>
      <c r="D101" s="0" t="n">
        <v>21</v>
      </c>
      <c r="E101" s="0" t="n">
        <v>21</v>
      </c>
      <c r="F101" s="0" t="n">
        <v>0</v>
      </c>
      <c r="G101" s="0" t="n">
        <v>0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8</v>
      </c>
      <c r="N101" s="0" t="n">
        <v>0</v>
      </c>
      <c r="O101" s="0" t="n">
        <v>0</v>
      </c>
    </row>
    <row r="102" customFormat="false" ht="15" hidden="false" customHeight="false" outlineLevel="0" collapsed="false">
      <c r="A102" s="0" t="s">
        <v>40</v>
      </c>
      <c r="B102" s="0" t="s">
        <v>57</v>
      </c>
      <c r="C102" s="0" t="s">
        <v>160</v>
      </c>
      <c r="D102" s="0" t="n">
        <v>21</v>
      </c>
      <c r="E102" s="0" t="n">
        <v>21</v>
      </c>
      <c r="F102" s="0" t="n">
        <v>0</v>
      </c>
      <c r="G102" s="0" t="n">
        <v>0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8</v>
      </c>
      <c r="N102" s="0" t="n">
        <v>0</v>
      </c>
      <c r="O102" s="0" t="n">
        <v>1</v>
      </c>
    </row>
    <row r="103" customFormat="false" ht="15" hidden="false" customHeight="false" outlineLevel="0" collapsed="false">
      <c r="A103" s="0" t="s">
        <v>60</v>
      </c>
      <c r="B103" s="0" t="s">
        <v>61</v>
      </c>
      <c r="C103" s="0" t="s">
        <v>160</v>
      </c>
      <c r="D103" s="0" t="n">
        <v>15</v>
      </c>
      <c r="E103" s="0" t="n">
        <v>13</v>
      </c>
      <c r="F103" s="0" t="n">
        <v>2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8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62</v>
      </c>
      <c r="B104" s="0" t="s">
        <v>63</v>
      </c>
      <c r="C104" s="0" t="s">
        <v>160</v>
      </c>
      <c r="D104" s="0" t="n">
        <v>20</v>
      </c>
      <c r="E104" s="0" t="n">
        <v>18</v>
      </c>
      <c r="F104" s="0" t="n">
        <v>2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8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64</v>
      </c>
      <c r="B105" s="0" t="s">
        <v>65</v>
      </c>
      <c r="C105" s="0" t="s">
        <v>160</v>
      </c>
      <c r="D105" s="0" t="n">
        <v>19</v>
      </c>
      <c r="E105" s="0" t="n">
        <v>19</v>
      </c>
      <c r="F105" s="0" t="n">
        <v>0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8</v>
      </c>
      <c r="N105" s="0" t="n">
        <v>0</v>
      </c>
      <c r="O105" s="0" t="n">
        <v>2</v>
      </c>
    </row>
    <row r="106" customFormat="false" ht="15" hidden="false" customHeight="false" outlineLevel="0" collapsed="false">
      <c r="A106" s="0" t="s">
        <v>24</v>
      </c>
      <c r="B106" s="0" t="s">
        <v>66</v>
      </c>
      <c r="C106" s="0" t="s">
        <v>160</v>
      </c>
      <c r="D106" s="0" t="n">
        <v>20.5</v>
      </c>
      <c r="E106" s="0" t="n">
        <v>20.5</v>
      </c>
      <c r="F106" s="0" t="n">
        <v>0</v>
      </c>
      <c r="G106" s="0" t="n">
        <v>1.5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8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67</v>
      </c>
      <c r="B107" s="0" t="s">
        <v>68</v>
      </c>
      <c r="C107" s="0" t="s">
        <v>160</v>
      </c>
      <c r="D107" s="0" t="n">
        <v>21</v>
      </c>
      <c r="E107" s="0" t="n">
        <v>15</v>
      </c>
      <c r="F107" s="0" t="n">
        <v>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8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69</v>
      </c>
      <c r="B108" s="0" t="s">
        <v>70</v>
      </c>
      <c r="C108" s="0" t="s">
        <v>160</v>
      </c>
      <c r="D108" s="0" t="n">
        <v>20</v>
      </c>
      <c r="E108" s="0" t="n">
        <v>6</v>
      </c>
      <c r="F108" s="0" t="n">
        <v>14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8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71</v>
      </c>
      <c r="B109" s="0" t="s">
        <v>72</v>
      </c>
      <c r="C109" s="0" t="s">
        <v>160</v>
      </c>
      <c r="D109" s="0" t="n">
        <v>19.5</v>
      </c>
      <c r="E109" s="0" t="n">
        <v>18.5</v>
      </c>
      <c r="F109" s="0" t="n">
        <v>1</v>
      </c>
      <c r="G109" s="0" t="n">
        <v>2.5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8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73</v>
      </c>
      <c r="B110" s="0" t="s">
        <v>74</v>
      </c>
      <c r="C110" s="0" t="s">
        <v>160</v>
      </c>
      <c r="D110" s="0" t="n">
        <v>21</v>
      </c>
      <c r="E110" s="0" t="n">
        <v>21</v>
      </c>
      <c r="F110" s="0" t="n">
        <v>0</v>
      </c>
      <c r="G110" s="0" t="n">
        <v>0.5</v>
      </c>
      <c r="H110" s="0" t="n">
        <v>0.5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8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75</v>
      </c>
      <c r="B111" s="0" t="s">
        <v>76</v>
      </c>
      <c r="C111" s="0" t="s">
        <v>160</v>
      </c>
      <c r="D111" s="0" t="n">
        <v>21</v>
      </c>
      <c r="E111" s="0" t="n">
        <v>21</v>
      </c>
      <c r="F111" s="0" t="n">
        <v>0</v>
      </c>
      <c r="G111" s="0" t="n">
        <v>0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8</v>
      </c>
      <c r="N111" s="0" t="n">
        <v>0</v>
      </c>
      <c r="O111" s="0" t="n">
        <v>0</v>
      </c>
    </row>
    <row r="112" customFormat="false" ht="15" hidden="false" customHeight="false" outlineLevel="0" collapsed="false">
      <c r="A112" s="0" t="s">
        <v>77</v>
      </c>
      <c r="B112" s="0" t="s">
        <v>78</v>
      </c>
      <c r="C112" s="0" t="s">
        <v>160</v>
      </c>
      <c r="D112" s="0" t="n">
        <v>22</v>
      </c>
      <c r="E112" s="0" t="n">
        <v>22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8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79</v>
      </c>
      <c r="B113" s="0" t="s">
        <v>80</v>
      </c>
      <c r="C113" s="0" t="s">
        <v>160</v>
      </c>
      <c r="D113" s="0" t="n">
        <v>20</v>
      </c>
      <c r="E113" s="0" t="n">
        <v>19</v>
      </c>
      <c r="F113" s="0" t="n">
        <v>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8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81</v>
      </c>
      <c r="B114" s="0" t="s">
        <v>82</v>
      </c>
      <c r="C114" s="0" t="s">
        <v>160</v>
      </c>
      <c r="D114" s="0" t="n">
        <v>19</v>
      </c>
      <c r="E114" s="0" t="n">
        <v>18</v>
      </c>
      <c r="F114" s="0" t="n">
        <v>1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8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83</v>
      </c>
      <c r="B115" s="0" t="s">
        <v>84</v>
      </c>
      <c r="C115" s="0" t="s">
        <v>160</v>
      </c>
      <c r="D115" s="0" t="n">
        <v>18.5</v>
      </c>
      <c r="E115" s="0" t="n">
        <v>18.5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1.5</v>
      </c>
      <c r="M115" s="0" t="n">
        <v>8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85</v>
      </c>
      <c r="B116" s="0" t="s">
        <v>86</v>
      </c>
      <c r="C116" s="0" t="s">
        <v>160</v>
      </c>
      <c r="D116" s="0" t="n">
        <v>21</v>
      </c>
      <c r="E116" s="0" t="n">
        <v>19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8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46</v>
      </c>
      <c r="B117" s="0" t="s">
        <v>89</v>
      </c>
      <c r="C117" s="0" t="s">
        <v>160</v>
      </c>
      <c r="D117" s="0" t="n">
        <v>22</v>
      </c>
      <c r="E117" s="0" t="n">
        <v>14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8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75</v>
      </c>
      <c r="B118" s="0" t="s">
        <v>90</v>
      </c>
      <c r="C118" s="0" t="s">
        <v>160</v>
      </c>
      <c r="D118" s="0" t="n">
        <v>22</v>
      </c>
      <c r="E118" s="0" t="n">
        <v>17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8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73</v>
      </c>
      <c r="B119" s="0" t="s">
        <v>91</v>
      </c>
      <c r="C119" s="0" t="s">
        <v>160</v>
      </c>
      <c r="D119" s="0" t="n">
        <v>18</v>
      </c>
      <c r="E119" s="0" t="n">
        <v>11</v>
      </c>
      <c r="F119" s="0" t="n">
        <v>7</v>
      </c>
      <c r="G119" s="0" t="n">
        <v>1.5</v>
      </c>
      <c r="H119" s="0" t="n">
        <v>2.5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8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92</v>
      </c>
      <c r="B120" s="0" t="s">
        <v>93</v>
      </c>
      <c r="C120" s="0" t="s">
        <v>160</v>
      </c>
      <c r="D120" s="0" t="n">
        <v>21</v>
      </c>
      <c r="E120" s="0" t="n">
        <v>19</v>
      </c>
      <c r="F120" s="0" t="n">
        <v>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8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94</v>
      </c>
      <c r="B121" s="0" t="s">
        <v>95</v>
      </c>
      <c r="C121" s="0" t="s">
        <v>160</v>
      </c>
      <c r="D121" s="0" t="n">
        <v>19</v>
      </c>
      <c r="E121" s="0" t="n">
        <v>17</v>
      </c>
      <c r="F121" s="0" t="n">
        <v>2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8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96</v>
      </c>
      <c r="B122" s="0" t="s">
        <v>97</v>
      </c>
      <c r="C122" s="0" t="s">
        <v>160</v>
      </c>
      <c r="D122" s="0" t="n">
        <v>21.5</v>
      </c>
      <c r="E122" s="0" t="n">
        <v>16.5</v>
      </c>
      <c r="F122" s="0" t="n">
        <v>5</v>
      </c>
      <c r="G122" s="0" t="n">
        <v>0.5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8</v>
      </c>
      <c r="N122" s="0" t="n">
        <v>0</v>
      </c>
      <c r="O122" s="0" t="n">
        <v>0</v>
      </c>
    </row>
    <row r="123" customFormat="false" ht="15" hidden="false" customHeight="false" outlineLevel="0" collapsed="false">
      <c r="A123" s="0" t="s">
        <v>22</v>
      </c>
      <c r="B123" s="0" t="s">
        <v>98</v>
      </c>
      <c r="C123" s="0" t="s">
        <v>160</v>
      </c>
      <c r="D123" s="0" t="n">
        <v>15</v>
      </c>
      <c r="E123" s="0" t="n">
        <v>0</v>
      </c>
      <c r="F123" s="0" t="n">
        <v>15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8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99</v>
      </c>
      <c r="B124" s="0" t="s">
        <v>100</v>
      </c>
      <c r="C124" s="0" t="s">
        <v>160</v>
      </c>
      <c r="D124" s="0" t="n">
        <v>20</v>
      </c>
      <c r="E124" s="0" t="n">
        <v>20</v>
      </c>
      <c r="F124" s="0" t="n">
        <v>0</v>
      </c>
      <c r="G124" s="0" t="n">
        <v>0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8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s">
        <v>101</v>
      </c>
      <c r="B125" s="0" t="s">
        <v>102</v>
      </c>
      <c r="C125" s="0" t="s">
        <v>160</v>
      </c>
      <c r="D125" s="0" t="n">
        <v>20</v>
      </c>
      <c r="E125" s="0" t="n">
        <v>20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8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60</v>
      </c>
      <c r="B126" s="0" t="s">
        <v>103</v>
      </c>
      <c r="C126" s="0" t="s">
        <v>160</v>
      </c>
      <c r="D126" s="0" t="n">
        <v>21</v>
      </c>
      <c r="E126" s="0" t="n">
        <v>21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8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42</v>
      </c>
      <c r="B127" s="0" t="s">
        <v>104</v>
      </c>
      <c r="C127" s="0" t="s">
        <v>160</v>
      </c>
      <c r="D127" s="0" t="n">
        <v>15.5</v>
      </c>
      <c r="E127" s="0" t="n">
        <v>15.5</v>
      </c>
      <c r="F127" s="0" t="n">
        <v>0</v>
      </c>
      <c r="G127" s="0" t="n">
        <v>6</v>
      </c>
      <c r="H127" s="0" t="n">
        <v>0.5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8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96</v>
      </c>
      <c r="B128" s="0" t="s">
        <v>107</v>
      </c>
      <c r="C128" s="0" t="s">
        <v>160</v>
      </c>
      <c r="D128" s="0" t="n">
        <v>22</v>
      </c>
      <c r="E128" s="0" t="n">
        <v>22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8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108</v>
      </c>
      <c r="B129" s="0" t="s">
        <v>109</v>
      </c>
      <c r="C129" s="0" t="s">
        <v>160</v>
      </c>
      <c r="D129" s="0" t="n">
        <v>19</v>
      </c>
      <c r="E129" s="0" t="n">
        <v>18.5</v>
      </c>
      <c r="F129" s="0" t="n">
        <v>0.5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8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110</v>
      </c>
      <c r="B130" s="0" t="s">
        <v>111</v>
      </c>
      <c r="C130" s="0" t="s">
        <v>160</v>
      </c>
      <c r="D130" s="0" t="n">
        <v>17</v>
      </c>
      <c r="E130" s="0" t="n">
        <v>17</v>
      </c>
      <c r="F130" s="0" t="n">
        <v>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8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114</v>
      </c>
      <c r="B131" s="0" t="s">
        <v>115</v>
      </c>
      <c r="C131" s="0" t="s">
        <v>160</v>
      </c>
      <c r="D131" s="0" t="n">
        <v>15.5</v>
      </c>
      <c r="E131" s="0" t="n">
        <v>13.5</v>
      </c>
      <c r="F131" s="0" t="n">
        <v>2</v>
      </c>
      <c r="G131" s="0" t="n">
        <v>0.5</v>
      </c>
      <c r="H131" s="0" t="n">
        <v>5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8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116</v>
      </c>
      <c r="B132" s="0" t="s">
        <v>117</v>
      </c>
      <c r="C132" s="0" t="s">
        <v>160</v>
      </c>
      <c r="D132" s="0" t="n">
        <v>20</v>
      </c>
      <c r="E132" s="0" t="n">
        <v>18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</v>
      </c>
      <c r="M132" s="0" t="n">
        <v>8</v>
      </c>
      <c r="N132" s="0" t="n">
        <v>0</v>
      </c>
      <c r="O132" s="0" t="n">
        <v>1</v>
      </c>
    </row>
    <row r="133" customFormat="false" ht="15" hidden="false" customHeight="false" outlineLevel="0" collapsed="false">
      <c r="A133" s="0" t="s">
        <v>58</v>
      </c>
      <c r="B133" s="0" t="s">
        <v>118</v>
      </c>
      <c r="C133" s="0" t="s">
        <v>160</v>
      </c>
      <c r="D133" s="0" t="n">
        <v>18.5</v>
      </c>
      <c r="E133" s="0" t="n">
        <v>17.5</v>
      </c>
      <c r="F133" s="0" t="n">
        <v>1</v>
      </c>
      <c r="G133" s="0" t="n">
        <v>2.5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8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119</v>
      </c>
      <c r="B134" s="0" t="s">
        <v>120</v>
      </c>
      <c r="C134" s="0" t="s">
        <v>160</v>
      </c>
      <c r="D134" s="0" t="n">
        <v>22</v>
      </c>
      <c r="E134" s="0" t="n">
        <v>20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8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121</v>
      </c>
      <c r="B135" s="0" t="s">
        <v>122</v>
      </c>
      <c r="C135" s="0" t="s">
        <v>160</v>
      </c>
      <c r="D135" s="0" t="n">
        <v>20.5</v>
      </c>
      <c r="E135" s="0" t="n">
        <v>20.5</v>
      </c>
      <c r="F135" s="0" t="n">
        <v>0</v>
      </c>
      <c r="G135" s="0" t="n">
        <v>0</v>
      </c>
      <c r="H135" s="0" t="n">
        <v>1.5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8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123</v>
      </c>
      <c r="B136" s="0" t="s">
        <v>124</v>
      </c>
      <c r="C136" s="0" t="s">
        <v>160</v>
      </c>
      <c r="D136" s="0" t="n">
        <v>21</v>
      </c>
      <c r="E136" s="0" t="n">
        <v>20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8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125</v>
      </c>
      <c r="B137" s="0" t="s">
        <v>126</v>
      </c>
      <c r="C137" s="0" t="s">
        <v>160</v>
      </c>
      <c r="D137" s="0" t="n">
        <v>18</v>
      </c>
      <c r="E137" s="0" t="n">
        <v>16.5</v>
      </c>
      <c r="F137" s="0" t="n">
        <v>1.5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4</v>
      </c>
      <c r="M137" s="0" t="n">
        <v>8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127</v>
      </c>
      <c r="B138" s="0" t="s">
        <v>128</v>
      </c>
      <c r="C138" s="0" t="s">
        <v>160</v>
      </c>
      <c r="D138" s="0" t="n">
        <v>22</v>
      </c>
      <c r="E138" s="0" t="n">
        <v>0</v>
      </c>
      <c r="F138" s="0" t="n">
        <v>22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8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129</v>
      </c>
      <c r="B139" s="0" t="s">
        <v>130</v>
      </c>
      <c r="C139" s="0" t="s">
        <v>160</v>
      </c>
      <c r="D139" s="0" t="n">
        <v>22</v>
      </c>
      <c r="E139" s="0" t="n">
        <v>22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8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123</v>
      </c>
      <c r="B140" s="0" t="s">
        <v>131</v>
      </c>
      <c r="C140" s="0" t="s">
        <v>160</v>
      </c>
      <c r="D140" s="0" t="n">
        <v>22</v>
      </c>
      <c r="E140" s="0" t="n">
        <v>21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8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132</v>
      </c>
      <c r="B141" s="0" t="s">
        <v>133</v>
      </c>
      <c r="C141" s="0" t="s">
        <v>160</v>
      </c>
      <c r="D141" s="0" t="n">
        <v>21</v>
      </c>
      <c r="E141" s="0" t="n">
        <v>21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8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134</v>
      </c>
      <c r="B142" s="0" t="s">
        <v>135</v>
      </c>
      <c r="C142" s="0" t="s">
        <v>160</v>
      </c>
      <c r="D142" s="0" t="n">
        <v>18</v>
      </c>
      <c r="E142" s="0" t="n">
        <v>13</v>
      </c>
      <c r="F142" s="0" t="n">
        <v>5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8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136</v>
      </c>
      <c r="B143" s="0" t="s">
        <v>137</v>
      </c>
      <c r="C143" s="0" t="s">
        <v>160</v>
      </c>
      <c r="D143" s="0" t="n">
        <v>22</v>
      </c>
      <c r="E143" s="0" t="n">
        <v>22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8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20</v>
      </c>
      <c r="B144" s="0" t="s">
        <v>161</v>
      </c>
      <c r="C144" s="0" t="s">
        <v>160</v>
      </c>
      <c r="D144" s="0" t="n">
        <v>21</v>
      </c>
      <c r="E144" s="0" t="n">
        <v>21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8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101</v>
      </c>
      <c r="B145" s="0" t="s">
        <v>162</v>
      </c>
      <c r="C145" s="0" t="s">
        <v>160</v>
      </c>
      <c r="D145" s="0" t="n">
        <v>20</v>
      </c>
      <c r="E145" s="0" t="n">
        <v>18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8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163</v>
      </c>
      <c r="B146" s="0" t="s">
        <v>164</v>
      </c>
      <c r="C146" s="0" t="s">
        <v>160</v>
      </c>
      <c r="D146" s="0" t="n">
        <v>16</v>
      </c>
      <c r="E146" s="0" t="n">
        <v>15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8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0" t="s">
        <v>165</v>
      </c>
      <c r="B147" s="0" t="s">
        <v>166</v>
      </c>
      <c r="C147" s="0" t="s">
        <v>160</v>
      </c>
      <c r="D147" s="0" t="n">
        <v>12</v>
      </c>
      <c r="E147" s="0" t="n">
        <v>12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8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167</v>
      </c>
      <c r="B148" s="0" t="s">
        <v>168</v>
      </c>
      <c r="C148" s="0" t="s">
        <v>160</v>
      </c>
      <c r="D148" s="0" t="n">
        <v>4</v>
      </c>
      <c r="E148" s="0" t="n">
        <v>4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8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139</v>
      </c>
      <c r="B149" s="0" t="s">
        <v>140</v>
      </c>
      <c r="C149" s="0" t="s">
        <v>160</v>
      </c>
      <c r="D149" s="0" t="n">
        <v>12</v>
      </c>
      <c r="E149" s="0" t="n">
        <v>0</v>
      </c>
      <c r="F149" s="0" t="n">
        <v>12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8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141</v>
      </c>
      <c r="B150" s="0" t="s">
        <v>142</v>
      </c>
      <c r="C150" s="0" t="s">
        <v>160</v>
      </c>
      <c r="D150" s="0" t="n">
        <v>17</v>
      </c>
      <c r="E150" s="0" t="n">
        <v>10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5</v>
      </c>
      <c r="M150" s="0" t="n">
        <v>8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94</v>
      </c>
      <c r="B151" s="0" t="s">
        <v>143</v>
      </c>
      <c r="C151" s="0" t="s">
        <v>160</v>
      </c>
      <c r="D151" s="0" t="n">
        <v>14.5</v>
      </c>
      <c r="E151" s="0" t="n">
        <v>13.5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7.5</v>
      </c>
      <c r="M151" s="0" t="n">
        <v>8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144</v>
      </c>
      <c r="B152" s="0" t="s">
        <v>145</v>
      </c>
      <c r="C152" s="0" t="s">
        <v>160</v>
      </c>
      <c r="D152" s="0" t="n">
        <v>4</v>
      </c>
      <c r="E152" s="0" t="n">
        <v>4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8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s">
        <v>146</v>
      </c>
      <c r="B153" s="0" t="s">
        <v>147</v>
      </c>
      <c r="C153" s="0" t="s">
        <v>160</v>
      </c>
      <c r="D153" s="0" t="n">
        <v>22</v>
      </c>
      <c r="E153" s="0" t="n">
        <v>16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8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148</v>
      </c>
      <c r="B154" s="0" t="s">
        <v>149</v>
      </c>
      <c r="C154" s="0" t="s">
        <v>160</v>
      </c>
      <c r="D154" s="0" t="n">
        <v>22</v>
      </c>
      <c r="E154" s="0" t="n">
        <v>16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8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152</v>
      </c>
      <c r="B155" s="0" t="s">
        <v>153</v>
      </c>
      <c r="C155" s="0" t="s">
        <v>160</v>
      </c>
      <c r="D155" s="0" t="n">
        <v>19</v>
      </c>
      <c r="E155" s="0" t="n">
        <v>19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3</v>
      </c>
      <c r="M155" s="0" t="n">
        <v>8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154</v>
      </c>
      <c r="B156" s="0" t="s">
        <v>155</v>
      </c>
      <c r="C156" s="0" t="s">
        <v>160</v>
      </c>
      <c r="D156" s="0" t="n">
        <v>20</v>
      </c>
      <c r="E156" s="0" t="n">
        <v>19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2</v>
      </c>
      <c r="M156" s="0" t="n">
        <v>8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156</v>
      </c>
      <c r="B157" s="0" t="s">
        <v>157</v>
      </c>
      <c r="C157" s="0" t="s">
        <v>160</v>
      </c>
      <c r="D157" s="0" t="n">
        <v>20</v>
      </c>
      <c r="E157" s="0" t="n">
        <v>17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2</v>
      </c>
      <c r="M157" s="0" t="n">
        <v>8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158</v>
      </c>
      <c r="B158" s="0" t="s">
        <v>159</v>
      </c>
      <c r="C158" s="0" t="s">
        <v>160</v>
      </c>
      <c r="D158" s="0" t="n">
        <v>20</v>
      </c>
      <c r="E158" s="0" t="n">
        <v>16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2</v>
      </c>
      <c r="M158" s="0" t="n">
        <v>8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144</v>
      </c>
      <c r="B159" s="0" t="s">
        <v>169</v>
      </c>
      <c r="C159" s="0" t="s">
        <v>160</v>
      </c>
      <c r="D159" s="0" t="n">
        <v>15</v>
      </c>
      <c r="E159" s="0" t="n">
        <v>13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2</v>
      </c>
      <c r="M159" s="0" t="n">
        <v>8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170</v>
      </c>
      <c r="B160" s="0" t="s">
        <v>171</v>
      </c>
      <c r="C160" s="0" t="s">
        <v>160</v>
      </c>
      <c r="D160" s="0" t="n">
        <v>16.5</v>
      </c>
      <c r="E160" s="0" t="n">
        <v>11.5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0.5</v>
      </c>
      <c r="M160" s="0" t="n">
        <v>8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172</v>
      </c>
      <c r="B161" s="0" t="s">
        <v>173</v>
      </c>
      <c r="C161" s="0" t="s">
        <v>160</v>
      </c>
      <c r="D161" s="0" t="n">
        <v>16.5</v>
      </c>
      <c r="E161" s="0" t="n">
        <v>16.5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0.5</v>
      </c>
      <c r="M161" s="0" t="n">
        <v>8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87</v>
      </c>
      <c r="B162" s="0" t="s">
        <v>174</v>
      </c>
      <c r="C162" s="0" t="s">
        <v>160</v>
      </c>
      <c r="D162" s="0" t="n">
        <v>7</v>
      </c>
      <c r="E162" s="0" t="n">
        <v>7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8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136</v>
      </c>
      <c r="B163" s="0" t="s">
        <v>175</v>
      </c>
      <c r="C163" s="0" t="s">
        <v>160</v>
      </c>
      <c r="D163" s="0" t="n">
        <v>7</v>
      </c>
      <c r="E163" s="0" t="n">
        <v>7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8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121</v>
      </c>
      <c r="B164" s="0" t="s">
        <v>176</v>
      </c>
      <c r="C164" s="0" t="s">
        <v>160</v>
      </c>
      <c r="D164" s="0" t="n">
        <v>7</v>
      </c>
      <c r="E164" s="0" t="n">
        <v>7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8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177</v>
      </c>
      <c r="B165" s="0" t="s">
        <v>178</v>
      </c>
      <c r="C165" s="0" t="s">
        <v>160</v>
      </c>
      <c r="D165" s="0" t="n">
        <v>7</v>
      </c>
      <c r="E165" s="0" t="n">
        <v>7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8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15</v>
      </c>
      <c r="B166" s="0" t="s">
        <v>16</v>
      </c>
      <c r="C166" s="0" t="s">
        <v>179</v>
      </c>
      <c r="D166" s="0" t="n">
        <v>13</v>
      </c>
      <c r="E166" s="0" t="n">
        <v>13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8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18</v>
      </c>
      <c r="B167" s="0" t="s">
        <v>19</v>
      </c>
      <c r="C167" s="0" t="s">
        <v>179</v>
      </c>
      <c r="D167" s="0" t="n">
        <v>13</v>
      </c>
      <c r="E167" s="0" t="n">
        <v>13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8</v>
      </c>
      <c r="N167" s="0" t="n">
        <v>0</v>
      </c>
      <c r="O167" s="0" t="n">
        <v>0</v>
      </c>
    </row>
    <row r="168" customFormat="false" ht="15" hidden="false" customHeight="false" outlineLevel="0" collapsed="false">
      <c r="A168" s="0" t="s">
        <v>20</v>
      </c>
      <c r="B168" s="0" t="s">
        <v>21</v>
      </c>
      <c r="C168" s="0" t="s">
        <v>179</v>
      </c>
      <c r="D168" s="0" t="n">
        <v>13</v>
      </c>
      <c r="E168" s="0" t="n">
        <v>13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8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22</v>
      </c>
      <c r="B169" s="0" t="s">
        <v>23</v>
      </c>
      <c r="C169" s="0" t="s">
        <v>179</v>
      </c>
      <c r="D169" s="0" t="n">
        <v>19</v>
      </c>
      <c r="E169" s="0" t="n">
        <v>7</v>
      </c>
      <c r="F169" s="0" t="n">
        <v>12</v>
      </c>
      <c r="G169" s="0" t="n">
        <v>0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8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24</v>
      </c>
      <c r="B170" s="0" t="s">
        <v>25</v>
      </c>
      <c r="C170" s="0" t="s">
        <v>179</v>
      </c>
      <c r="D170" s="0" t="n">
        <v>12</v>
      </c>
      <c r="E170" s="0" t="n">
        <v>12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8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26</v>
      </c>
      <c r="B171" s="0" t="s">
        <v>27</v>
      </c>
      <c r="C171" s="0" t="s">
        <v>179</v>
      </c>
      <c r="D171" s="0" t="n">
        <v>13</v>
      </c>
      <c r="E171" s="0" t="n">
        <v>13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8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28</v>
      </c>
      <c r="B172" s="0" t="s">
        <v>29</v>
      </c>
      <c r="C172" s="0" t="s">
        <v>179</v>
      </c>
      <c r="D172" s="0" t="n">
        <v>13</v>
      </c>
      <c r="E172" s="0" t="n">
        <v>13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8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30</v>
      </c>
      <c r="B173" s="0" t="s">
        <v>31</v>
      </c>
      <c r="C173" s="0" t="s">
        <v>179</v>
      </c>
      <c r="D173" s="0" t="n">
        <v>11</v>
      </c>
      <c r="E173" s="0" t="n">
        <v>11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8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32</v>
      </c>
      <c r="B174" s="0" t="s">
        <v>33</v>
      </c>
      <c r="C174" s="0" t="s">
        <v>179</v>
      </c>
      <c r="D174" s="0" t="n">
        <v>8.5</v>
      </c>
      <c r="E174" s="0" t="n">
        <v>8.5</v>
      </c>
      <c r="F174" s="0" t="n">
        <v>0</v>
      </c>
      <c r="G174" s="0" t="n">
        <v>3.5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8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34</v>
      </c>
      <c r="B175" s="0" t="s">
        <v>35</v>
      </c>
      <c r="C175" s="0" t="s">
        <v>179</v>
      </c>
      <c r="D175" s="0" t="n">
        <v>13</v>
      </c>
      <c r="E175" s="0" t="n">
        <v>13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8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s">
        <v>36</v>
      </c>
      <c r="B176" s="0" t="s">
        <v>37</v>
      </c>
      <c r="C176" s="0" t="s">
        <v>179</v>
      </c>
      <c r="D176" s="0" t="n">
        <v>12</v>
      </c>
      <c r="E176" s="0" t="n">
        <v>12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8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0" t="s">
        <v>38</v>
      </c>
      <c r="B177" s="0" t="s">
        <v>39</v>
      </c>
      <c r="C177" s="0" t="s">
        <v>179</v>
      </c>
      <c r="D177" s="0" t="n">
        <v>13</v>
      </c>
      <c r="E177" s="0" t="n">
        <v>13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8</v>
      </c>
      <c r="N177" s="0" t="n">
        <v>0</v>
      </c>
      <c r="O177" s="0" t="n">
        <v>0</v>
      </c>
    </row>
    <row r="178" customFormat="false" ht="15" hidden="false" customHeight="false" outlineLevel="0" collapsed="false">
      <c r="A178" s="0" t="s">
        <v>40</v>
      </c>
      <c r="B178" s="0" t="s">
        <v>41</v>
      </c>
      <c r="C178" s="0" t="s">
        <v>179</v>
      </c>
      <c r="D178" s="0" t="n">
        <v>13</v>
      </c>
      <c r="E178" s="0" t="n">
        <v>8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8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42</v>
      </c>
      <c r="B179" s="0" t="s">
        <v>43</v>
      </c>
      <c r="C179" s="0" t="s">
        <v>179</v>
      </c>
      <c r="D179" s="0" t="n">
        <v>11</v>
      </c>
      <c r="E179" s="0" t="n">
        <v>11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8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44</v>
      </c>
      <c r="B180" s="0" t="s">
        <v>45</v>
      </c>
      <c r="C180" s="0" t="s">
        <v>179</v>
      </c>
      <c r="D180" s="0" t="n">
        <v>9</v>
      </c>
      <c r="E180" s="0" t="n">
        <v>9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4</v>
      </c>
      <c r="L180" s="0" t="n">
        <v>0</v>
      </c>
      <c r="M180" s="0" t="n">
        <v>8</v>
      </c>
      <c r="N180" s="0" t="n">
        <v>0</v>
      </c>
      <c r="O180" s="0" t="n">
        <v>0</v>
      </c>
    </row>
    <row r="181" customFormat="false" ht="15" hidden="false" customHeight="false" outlineLevel="0" collapsed="false">
      <c r="A181" s="0" t="s">
        <v>46</v>
      </c>
      <c r="B181" s="0" t="s">
        <v>47</v>
      </c>
      <c r="C181" s="0" t="s">
        <v>179</v>
      </c>
      <c r="D181" s="0" t="n">
        <v>12.5</v>
      </c>
      <c r="E181" s="0" t="n">
        <v>12.5</v>
      </c>
      <c r="F181" s="0" t="n">
        <v>0</v>
      </c>
      <c r="G181" s="0" t="n">
        <v>0.5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8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48</v>
      </c>
      <c r="B182" s="0" t="s">
        <v>49</v>
      </c>
      <c r="C182" s="0" t="s">
        <v>179</v>
      </c>
      <c r="D182" s="0" t="n">
        <v>12</v>
      </c>
      <c r="E182" s="0" t="n">
        <v>12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8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36</v>
      </c>
      <c r="B183" s="0" t="s">
        <v>50</v>
      </c>
      <c r="C183" s="0" t="s">
        <v>179</v>
      </c>
      <c r="D183" s="0" t="n">
        <v>5</v>
      </c>
      <c r="E183" s="0" t="n">
        <v>4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8</v>
      </c>
      <c r="N183" s="0" t="n">
        <v>0</v>
      </c>
      <c r="O183" s="0" t="n">
        <v>1</v>
      </c>
    </row>
    <row r="184" customFormat="false" ht="15" hidden="false" customHeight="false" outlineLevel="0" collapsed="false">
      <c r="A184" s="0" t="s">
        <v>51</v>
      </c>
      <c r="B184" s="0" t="s">
        <v>52</v>
      </c>
      <c r="C184" s="0" t="s">
        <v>179</v>
      </c>
      <c r="D184" s="0" t="n">
        <v>13</v>
      </c>
      <c r="E184" s="0" t="n">
        <v>11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8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53</v>
      </c>
      <c r="B185" s="0" t="s">
        <v>54</v>
      </c>
      <c r="C185" s="0" t="s">
        <v>179</v>
      </c>
      <c r="D185" s="0" t="n">
        <v>13</v>
      </c>
      <c r="E185" s="0" t="n">
        <v>13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8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55</v>
      </c>
      <c r="B186" s="0" t="s">
        <v>56</v>
      </c>
      <c r="C186" s="0" t="s">
        <v>179</v>
      </c>
      <c r="D186" s="0" t="n">
        <v>13</v>
      </c>
      <c r="E186" s="0" t="n">
        <v>13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8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40</v>
      </c>
      <c r="B187" s="0" t="s">
        <v>57</v>
      </c>
      <c r="C187" s="0" t="s">
        <v>179</v>
      </c>
      <c r="D187" s="0" t="n">
        <v>13</v>
      </c>
      <c r="E187" s="0" t="n">
        <v>13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8</v>
      </c>
      <c r="N187" s="0" t="n">
        <v>0</v>
      </c>
      <c r="O187" s="0" t="n">
        <v>1</v>
      </c>
    </row>
    <row r="188" customFormat="false" ht="15" hidden="false" customHeight="false" outlineLevel="0" collapsed="false">
      <c r="A188" s="0" t="s">
        <v>60</v>
      </c>
      <c r="B188" s="0" t="s">
        <v>61</v>
      </c>
      <c r="C188" s="0" t="s">
        <v>179</v>
      </c>
      <c r="D188" s="0" t="n">
        <v>13</v>
      </c>
      <c r="E188" s="0" t="n">
        <v>13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8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62</v>
      </c>
      <c r="B189" s="0" t="s">
        <v>63</v>
      </c>
      <c r="C189" s="0" t="s">
        <v>179</v>
      </c>
      <c r="D189" s="0" t="n">
        <v>13</v>
      </c>
      <c r="E189" s="0" t="n">
        <v>13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8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64</v>
      </c>
      <c r="B190" s="0" t="s">
        <v>65</v>
      </c>
      <c r="C190" s="0" t="s">
        <v>179</v>
      </c>
      <c r="D190" s="0" t="n">
        <v>5.5</v>
      </c>
      <c r="E190" s="0" t="n">
        <v>5.5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5.5</v>
      </c>
      <c r="M190" s="0" t="n">
        <v>8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24</v>
      </c>
      <c r="B191" s="0" t="s">
        <v>66</v>
      </c>
      <c r="C191" s="0" t="s">
        <v>179</v>
      </c>
      <c r="D191" s="0" t="n">
        <v>13</v>
      </c>
      <c r="E191" s="0" t="n">
        <v>13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8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67</v>
      </c>
      <c r="B192" s="0" t="s">
        <v>68</v>
      </c>
      <c r="C192" s="0" t="s">
        <v>179</v>
      </c>
      <c r="D192" s="0" t="n">
        <v>9</v>
      </c>
      <c r="E192" s="0" t="n">
        <v>8</v>
      </c>
      <c r="F192" s="0" t="n">
        <v>1</v>
      </c>
      <c r="G192" s="0" t="n">
        <v>3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8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69</v>
      </c>
      <c r="B193" s="0" t="s">
        <v>70</v>
      </c>
      <c r="C193" s="0" t="s">
        <v>179</v>
      </c>
      <c r="D193" s="0" t="n">
        <v>12.5</v>
      </c>
      <c r="E193" s="0" t="n">
        <v>12.5</v>
      </c>
      <c r="F193" s="0" t="n">
        <v>0</v>
      </c>
      <c r="G193" s="0" t="n">
        <v>1.5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8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71</v>
      </c>
      <c r="B194" s="0" t="s">
        <v>72</v>
      </c>
      <c r="C194" s="0" t="s">
        <v>179</v>
      </c>
      <c r="D194" s="0" t="n">
        <v>13</v>
      </c>
      <c r="E194" s="0" t="n">
        <v>13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8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73</v>
      </c>
      <c r="B195" s="0" t="s">
        <v>74</v>
      </c>
      <c r="C195" s="0" t="s">
        <v>179</v>
      </c>
      <c r="D195" s="0" t="n">
        <v>11</v>
      </c>
      <c r="E195" s="0" t="n">
        <v>11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8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75</v>
      </c>
      <c r="B196" s="0" t="s">
        <v>76</v>
      </c>
      <c r="C196" s="0" t="s">
        <v>179</v>
      </c>
      <c r="D196" s="0" t="n">
        <v>11</v>
      </c>
      <c r="E196" s="0" t="n">
        <v>9</v>
      </c>
      <c r="F196" s="0" t="n">
        <v>2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8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77</v>
      </c>
      <c r="B197" s="0" t="s">
        <v>78</v>
      </c>
      <c r="C197" s="0" t="s">
        <v>179</v>
      </c>
      <c r="D197" s="0" t="n">
        <v>11</v>
      </c>
      <c r="E197" s="0" t="n">
        <v>6</v>
      </c>
      <c r="F197" s="0" t="n">
        <v>5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8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79</v>
      </c>
      <c r="B198" s="0" t="s">
        <v>80</v>
      </c>
      <c r="C198" s="0" t="s">
        <v>179</v>
      </c>
      <c r="D198" s="0" t="n">
        <v>12</v>
      </c>
      <c r="E198" s="0" t="n">
        <v>12</v>
      </c>
      <c r="F198" s="0" t="n">
        <v>0</v>
      </c>
      <c r="G198" s="0" t="n">
        <v>0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8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81</v>
      </c>
      <c r="B199" s="0" t="s">
        <v>82</v>
      </c>
      <c r="C199" s="0" t="s">
        <v>179</v>
      </c>
      <c r="D199" s="0" t="n">
        <v>13</v>
      </c>
      <c r="E199" s="0" t="n">
        <v>13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8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46</v>
      </c>
      <c r="B200" s="0" t="s">
        <v>89</v>
      </c>
      <c r="C200" s="0" t="s">
        <v>179</v>
      </c>
      <c r="D200" s="0" t="n">
        <v>16</v>
      </c>
      <c r="E200" s="0" t="n">
        <v>7</v>
      </c>
      <c r="F200" s="0" t="n">
        <v>9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8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75</v>
      </c>
      <c r="B201" s="0" t="s">
        <v>90</v>
      </c>
      <c r="C201" s="0" t="s">
        <v>179</v>
      </c>
      <c r="D201" s="0" t="n">
        <v>13</v>
      </c>
      <c r="E201" s="0" t="n">
        <v>13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8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73</v>
      </c>
      <c r="B202" s="0" t="s">
        <v>91</v>
      </c>
      <c r="C202" s="0" t="s">
        <v>179</v>
      </c>
      <c r="D202" s="0" t="n">
        <v>13</v>
      </c>
      <c r="E202" s="0" t="n">
        <v>12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8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92</v>
      </c>
      <c r="B203" s="0" t="s">
        <v>93</v>
      </c>
      <c r="C203" s="0" t="s">
        <v>179</v>
      </c>
      <c r="D203" s="0" t="n">
        <v>13</v>
      </c>
      <c r="E203" s="0" t="n">
        <v>12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8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94</v>
      </c>
      <c r="B204" s="0" t="s">
        <v>95</v>
      </c>
      <c r="C204" s="0" t="s">
        <v>179</v>
      </c>
      <c r="D204" s="0" t="n">
        <v>12</v>
      </c>
      <c r="E204" s="0" t="n">
        <v>12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8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96</v>
      </c>
      <c r="B205" s="0" t="s">
        <v>97</v>
      </c>
      <c r="C205" s="0" t="s">
        <v>179</v>
      </c>
      <c r="D205" s="0" t="n">
        <v>13</v>
      </c>
      <c r="E205" s="0" t="n">
        <v>13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8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99</v>
      </c>
      <c r="B206" s="0" t="s">
        <v>100</v>
      </c>
      <c r="C206" s="0" t="s">
        <v>179</v>
      </c>
      <c r="D206" s="0" t="n">
        <v>13</v>
      </c>
      <c r="E206" s="0" t="n">
        <v>12</v>
      </c>
      <c r="F206" s="0" t="n">
        <v>1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8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101</v>
      </c>
      <c r="B207" s="0" t="s">
        <v>102</v>
      </c>
      <c r="C207" s="0" t="s">
        <v>179</v>
      </c>
      <c r="D207" s="0" t="n">
        <v>12</v>
      </c>
      <c r="E207" s="0" t="n">
        <v>12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8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60</v>
      </c>
      <c r="B208" s="0" t="s">
        <v>103</v>
      </c>
      <c r="C208" s="0" t="s">
        <v>179</v>
      </c>
      <c r="D208" s="0" t="n">
        <v>13</v>
      </c>
      <c r="E208" s="0" t="n">
        <v>13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8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42</v>
      </c>
      <c r="B209" s="0" t="s">
        <v>104</v>
      </c>
      <c r="C209" s="0" t="s">
        <v>179</v>
      </c>
      <c r="D209" s="0" t="n">
        <v>12.5</v>
      </c>
      <c r="E209" s="0" t="n">
        <v>12.5</v>
      </c>
      <c r="F209" s="0" t="n">
        <v>0</v>
      </c>
      <c r="G209" s="0" t="n">
        <v>0</v>
      </c>
      <c r="H209" s="0" t="n">
        <v>0.5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8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96</v>
      </c>
      <c r="B210" s="0" t="s">
        <v>107</v>
      </c>
      <c r="C210" s="0" t="s">
        <v>179</v>
      </c>
      <c r="D210" s="0" t="n">
        <v>13</v>
      </c>
      <c r="E210" s="0" t="n">
        <v>13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8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108</v>
      </c>
      <c r="B211" s="0" t="s">
        <v>109</v>
      </c>
      <c r="C211" s="0" t="s">
        <v>179</v>
      </c>
      <c r="D211" s="0" t="n">
        <v>11.5</v>
      </c>
      <c r="E211" s="0" t="n">
        <v>11.5</v>
      </c>
      <c r="F211" s="0" t="n">
        <v>0</v>
      </c>
      <c r="G211" s="0" t="n">
        <v>0</v>
      </c>
      <c r="H211" s="0" t="n">
        <v>1.5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8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110</v>
      </c>
      <c r="B212" s="0" t="s">
        <v>111</v>
      </c>
      <c r="C212" s="0" t="s">
        <v>179</v>
      </c>
      <c r="D212" s="0" t="n">
        <v>12.5</v>
      </c>
      <c r="E212" s="0" t="n">
        <v>11.5</v>
      </c>
      <c r="F212" s="0" t="n">
        <v>1</v>
      </c>
      <c r="G212" s="0" t="n">
        <v>0</v>
      </c>
      <c r="H212" s="0" t="n">
        <v>0.5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8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114</v>
      </c>
      <c r="B213" s="0" t="s">
        <v>115</v>
      </c>
      <c r="C213" s="0" t="s">
        <v>179</v>
      </c>
      <c r="D213" s="0" t="n">
        <v>6.5</v>
      </c>
      <c r="E213" s="0" t="n">
        <v>6.5</v>
      </c>
      <c r="F213" s="0" t="n">
        <v>0</v>
      </c>
      <c r="G213" s="0" t="n">
        <v>0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5.5</v>
      </c>
      <c r="M213" s="0" t="n">
        <v>8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116</v>
      </c>
      <c r="B214" s="0" t="s">
        <v>117</v>
      </c>
      <c r="C214" s="0" t="s">
        <v>179</v>
      </c>
      <c r="D214" s="0" t="n">
        <v>12</v>
      </c>
      <c r="E214" s="0" t="n">
        <v>12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8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58</v>
      </c>
      <c r="B215" s="0" t="s">
        <v>118</v>
      </c>
      <c r="C215" s="0" t="s">
        <v>179</v>
      </c>
      <c r="D215" s="0" t="n">
        <v>8.5</v>
      </c>
      <c r="E215" s="0" t="n">
        <v>8.5</v>
      </c>
      <c r="F215" s="0" t="n">
        <v>0</v>
      </c>
      <c r="G215" s="0" t="n">
        <v>2</v>
      </c>
      <c r="H215" s="0" t="n">
        <v>2.5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8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119</v>
      </c>
      <c r="B216" s="0" t="s">
        <v>120</v>
      </c>
      <c r="C216" s="0" t="s">
        <v>179</v>
      </c>
      <c r="D216" s="0" t="n">
        <v>13</v>
      </c>
      <c r="E216" s="0" t="n">
        <v>13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8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121</v>
      </c>
      <c r="B217" s="0" t="s">
        <v>122</v>
      </c>
      <c r="C217" s="0" t="s">
        <v>179</v>
      </c>
      <c r="D217" s="0" t="n">
        <v>13</v>
      </c>
      <c r="E217" s="0" t="n">
        <v>13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8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123</v>
      </c>
      <c r="B218" s="0" t="s">
        <v>124</v>
      </c>
      <c r="C218" s="0" t="s">
        <v>179</v>
      </c>
      <c r="D218" s="0" t="n">
        <v>13</v>
      </c>
      <c r="E218" s="0" t="n">
        <v>13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8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125</v>
      </c>
      <c r="B219" s="0" t="s">
        <v>126</v>
      </c>
      <c r="C219" s="0" t="s">
        <v>179</v>
      </c>
      <c r="D219" s="0" t="n">
        <v>11</v>
      </c>
      <c r="E219" s="0" t="n">
        <v>9.5</v>
      </c>
      <c r="F219" s="0" t="n">
        <v>1.5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2</v>
      </c>
      <c r="M219" s="0" t="n">
        <v>8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127</v>
      </c>
      <c r="B220" s="0" t="s">
        <v>128</v>
      </c>
      <c r="C220" s="0" t="s">
        <v>179</v>
      </c>
      <c r="D220" s="0" t="n">
        <v>18</v>
      </c>
      <c r="E220" s="0" t="n">
        <v>0</v>
      </c>
      <c r="F220" s="0" t="n">
        <v>18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6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129</v>
      </c>
      <c r="B221" s="0" t="s">
        <v>130</v>
      </c>
      <c r="C221" s="0" t="s">
        <v>179</v>
      </c>
      <c r="D221" s="0" t="n">
        <v>13</v>
      </c>
      <c r="E221" s="0" t="n">
        <v>13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8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123</v>
      </c>
      <c r="B222" s="0" t="s">
        <v>131</v>
      </c>
      <c r="C222" s="0" t="s">
        <v>179</v>
      </c>
      <c r="D222" s="0" t="n">
        <v>13</v>
      </c>
      <c r="E222" s="0" t="n">
        <v>7</v>
      </c>
      <c r="F222" s="0" t="n">
        <v>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8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132</v>
      </c>
      <c r="B223" s="0" t="s">
        <v>133</v>
      </c>
      <c r="C223" s="0" t="s">
        <v>179</v>
      </c>
      <c r="D223" s="0" t="n">
        <v>12.5</v>
      </c>
      <c r="E223" s="0" t="n">
        <v>12.5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0.5</v>
      </c>
      <c r="M223" s="0" t="n">
        <v>8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134</v>
      </c>
      <c r="B224" s="0" t="s">
        <v>135</v>
      </c>
      <c r="C224" s="0" t="s">
        <v>179</v>
      </c>
      <c r="D224" s="0" t="n">
        <v>12</v>
      </c>
      <c r="E224" s="0" t="n">
        <v>8</v>
      </c>
      <c r="F224" s="0" t="n">
        <v>4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8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136</v>
      </c>
      <c r="B225" s="0" t="s">
        <v>137</v>
      </c>
      <c r="C225" s="0" t="s">
        <v>179</v>
      </c>
      <c r="D225" s="0" t="n">
        <v>13</v>
      </c>
      <c r="E225" s="0" t="n">
        <v>12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8</v>
      </c>
      <c r="N225" s="0" t="n">
        <v>0</v>
      </c>
      <c r="O225" s="0" t="n">
        <v>1</v>
      </c>
    </row>
    <row r="226" customFormat="false" ht="15" hidden="false" customHeight="false" outlineLevel="0" collapsed="false">
      <c r="A226" s="0" t="s">
        <v>20</v>
      </c>
      <c r="B226" s="0" t="s">
        <v>161</v>
      </c>
      <c r="C226" s="0" t="s">
        <v>179</v>
      </c>
      <c r="D226" s="0" t="n">
        <v>13</v>
      </c>
      <c r="E226" s="0" t="n">
        <v>13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8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101</v>
      </c>
      <c r="B227" s="0" t="s">
        <v>162</v>
      </c>
      <c r="C227" s="0" t="s">
        <v>179</v>
      </c>
      <c r="D227" s="0" t="n">
        <v>12</v>
      </c>
      <c r="E227" s="0" t="n">
        <v>11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1</v>
      </c>
      <c r="M227" s="0" t="n">
        <v>8</v>
      </c>
      <c r="N227" s="0" t="n">
        <v>0</v>
      </c>
      <c r="O227" s="0" t="n">
        <v>1</v>
      </c>
    </row>
    <row r="228" customFormat="false" ht="15" hidden="false" customHeight="false" outlineLevel="0" collapsed="false">
      <c r="A228" s="0" t="s">
        <v>163</v>
      </c>
      <c r="B228" s="0" t="s">
        <v>164</v>
      </c>
      <c r="C228" s="0" t="s">
        <v>179</v>
      </c>
      <c r="D228" s="0" t="n">
        <v>11</v>
      </c>
      <c r="E228" s="0" t="n">
        <v>10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2</v>
      </c>
      <c r="M228" s="0" t="n">
        <v>8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165</v>
      </c>
      <c r="B229" s="0" t="s">
        <v>166</v>
      </c>
      <c r="C229" s="0" t="s">
        <v>179</v>
      </c>
      <c r="D229" s="0" t="n">
        <v>13</v>
      </c>
      <c r="E229" s="0" t="n">
        <v>13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8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167</v>
      </c>
      <c r="B230" s="0" t="s">
        <v>168</v>
      </c>
      <c r="C230" s="0" t="s">
        <v>179</v>
      </c>
      <c r="D230" s="0" t="n">
        <v>12</v>
      </c>
      <c r="E230" s="0" t="n">
        <v>12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8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180</v>
      </c>
      <c r="B231" s="0" t="s">
        <v>181</v>
      </c>
      <c r="C231" s="0" t="s">
        <v>179</v>
      </c>
      <c r="D231" s="0" t="n">
        <v>10</v>
      </c>
      <c r="E231" s="0" t="n">
        <v>0</v>
      </c>
      <c r="F231" s="0" t="n">
        <v>10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8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62</v>
      </c>
      <c r="B232" s="0" t="s">
        <v>182</v>
      </c>
      <c r="C232" s="0" t="s">
        <v>179</v>
      </c>
      <c r="D232" s="0" t="n">
        <v>11</v>
      </c>
      <c r="E232" s="0" t="n">
        <v>0</v>
      </c>
      <c r="F232" s="0" t="n">
        <v>11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8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183</v>
      </c>
      <c r="B233" s="0" t="s">
        <v>184</v>
      </c>
      <c r="C233" s="0" t="s">
        <v>179</v>
      </c>
      <c r="D233" s="0" t="n">
        <v>3</v>
      </c>
      <c r="E233" s="0" t="n">
        <v>3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8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185</v>
      </c>
      <c r="B234" s="0" t="s">
        <v>186</v>
      </c>
      <c r="C234" s="0" t="s">
        <v>179</v>
      </c>
      <c r="D234" s="0" t="n">
        <v>22</v>
      </c>
      <c r="E234" s="0" t="n">
        <v>0</v>
      </c>
      <c r="F234" s="0" t="n">
        <v>22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8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146</v>
      </c>
      <c r="B235" s="0" t="s">
        <v>147</v>
      </c>
      <c r="C235" s="0" t="s">
        <v>179</v>
      </c>
      <c r="D235" s="0" t="n">
        <v>2</v>
      </c>
      <c r="E235" s="0" t="n">
        <v>2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1</v>
      </c>
      <c r="M235" s="0" t="n">
        <v>8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148</v>
      </c>
      <c r="B236" s="0" t="s">
        <v>149</v>
      </c>
      <c r="C236" s="0" t="s">
        <v>179</v>
      </c>
      <c r="D236" s="0" t="n">
        <v>17</v>
      </c>
      <c r="E236" s="0" t="n">
        <v>7</v>
      </c>
      <c r="F236" s="0" t="n">
        <v>10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5</v>
      </c>
      <c r="M236" s="0" t="n">
        <v>8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152</v>
      </c>
      <c r="B237" s="0" t="s">
        <v>153</v>
      </c>
      <c r="C237" s="0" t="s">
        <v>179</v>
      </c>
      <c r="D237" s="0" t="n">
        <v>8</v>
      </c>
      <c r="E237" s="0" t="n">
        <v>8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12</v>
      </c>
      <c r="M237" s="0" t="n">
        <v>8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154</v>
      </c>
      <c r="B238" s="0" t="s">
        <v>155</v>
      </c>
      <c r="C238" s="0" t="s">
        <v>179</v>
      </c>
      <c r="D238" s="0" t="n">
        <v>13</v>
      </c>
      <c r="E238" s="0" t="n">
        <v>13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8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158</v>
      </c>
      <c r="B239" s="0" t="s">
        <v>159</v>
      </c>
      <c r="C239" s="0" t="s">
        <v>179</v>
      </c>
      <c r="D239" s="0" t="n">
        <v>13</v>
      </c>
      <c r="E239" s="0" t="n">
        <v>13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8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144</v>
      </c>
      <c r="B240" s="0" t="s">
        <v>169</v>
      </c>
      <c r="C240" s="0" t="s">
        <v>179</v>
      </c>
      <c r="D240" s="0" t="n">
        <v>13</v>
      </c>
      <c r="E240" s="0" t="n">
        <v>13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8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170</v>
      </c>
      <c r="B241" s="0" t="s">
        <v>171</v>
      </c>
      <c r="C241" s="0" t="s">
        <v>179</v>
      </c>
      <c r="D241" s="0" t="n">
        <v>13</v>
      </c>
      <c r="E241" s="0" t="n">
        <v>12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8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172</v>
      </c>
      <c r="B242" s="0" t="s">
        <v>173</v>
      </c>
      <c r="C242" s="0" t="s">
        <v>179</v>
      </c>
      <c r="D242" s="0" t="n">
        <v>12.5</v>
      </c>
      <c r="E242" s="0" t="n">
        <v>12.5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0.5</v>
      </c>
      <c r="M242" s="0" t="n">
        <v>8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114</v>
      </c>
      <c r="B243" s="0" t="s">
        <v>187</v>
      </c>
      <c r="C243" s="0" t="s">
        <v>179</v>
      </c>
      <c r="D243" s="0" t="n">
        <v>13</v>
      </c>
      <c r="E243" s="0" t="n">
        <v>13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8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53</v>
      </c>
      <c r="B244" s="0" t="s">
        <v>188</v>
      </c>
      <c r="C244" s="0" t="s">
        <v>179</v>
      </c>
      <c r="D244" s="0" t="n">
        <v>13</v>
      </c>
      <c r="E244" s="0" t="n">
        <v>13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8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121</v>
      </c>
      <c r="B245" s="0" t="s">
        <v>176</v>
      </c>
      <c r="C245" s="0" t="s">
        <v>179</v>
      </c>
      <c r="D245" s="0" t="n">
        <v>13</v>
      </c>
      <c r="E245" s="0" t="n">
        <v>13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8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177</v>
      </c>
      <c r="B246" s="0" t="s">
        <v>178</v>
      </c>
      <c r="C246" s="0" t="s">
        <v>179</v>
      </c>
      <c r="D246" s="0" t="n">
        <v>13</v>
      </c>
      <c r="E246" s="0" t="n">
        <v>13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8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94</v>
      </c>
      <c r="B247" s="0" t="s">
        <v>189</v>
      </c>
      <c r="C247" s="0" t="s">
        <v>179</v>
      </c>
      <c r="D247" s="0" t="n">
        <v>13</v>
      </c>
      <c r="E247" s="0" t="n">
        <v>13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8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81</v>
      </c>
      <c r="B248" s="0" t="s">
        <v>190</v>
      </c>
      <c r="C248" s="0" t="s">
        <v>179</v>
      </c>
      <c r="D248" s="0" t="n">
        <v>13</v>
      </c>
      <c r="E248" s="0" t="n">
        <v>0</v>
      </c>
      <c r="F248" s="0" t="n">
        <v>13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1</v>
      </c>
      <c r="M248" s="0" t="n">
        <v>8</v>
      </c>
      <c r="N248" s="0" t="n">
        <v>0</v>
      </c>
      <c r="O24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8"/>
  </cols>
  <sheetData>
    <row r="2" customFormat="false" ht="19.7" hidden="false" customHeight="false" outlineLevel="0" collapsed="false">
      <c r="B2" s="2" t="s">
        <v>191</v>
      </c>
    </row>
    <row r="3" customFormat="false" ht="15" hidden="false" customHeight="false" outlineLevel="0" collapsed="false">
      <c r="B3" s="3" t="s">
        <v>192</v>
      </c>
    </row>
    <row r="5" customFormat="false" ht="23.85" hidden="false" customHeight="false" outlineLevel="0" collapsed="false">
      <c r="B5" s="4" t="s">
        <v>193</v>
      </c>
      <c r="C5" s="4" t="s">
        <v>194</v>
      </c>
      <c r="D5" s="4" t="s">
        <v>195</v>
      </c>
      <c r="E5" s="4" t="s">
        <v>196</v>
      </c>
      <c r="F5" s="4" t="s">
        <v>197</v>
      </c>
      <c r="G5" s="4" t="s">
        <v>198</v>
      </c>
    </row>
    <row r="6" customFormat="false" ht="30" hidden="false" customHeight="true" outlineLevel="0" collapsed="false">
      <c r="B6" s="5" t="n">
        <f aca="false">SUMPRODUCT(1/COUNTIF(RawData!$A$2:$A$248,RawData!$A$2:$A$248))</f>
        <v>74</v>
      </c>
      <c r="C6" s="6" t="n">
        <f aca="false">AVERAGE(RawData!$E$2:$E$248)</f>
        <v>14.8481781376518</v>
      </c>
      <c r="D6" s="6" t="n">
        <f aca="false">AVERAGE(RawData!$F$2:$F$248)</f>
        <v>1.83400809716599</v>
      </c>
      <c r="E6" s="5" t="n">
        <f aca="false">SUM(RawData!$G$2:$G$248)</f>
        <v>160</v>
      </c>
      <c r="F6" s="5" t="n">
        <f aca="false">SUM(RawData!$H$2:$H$248)</f>
        <v>48</v>
      </c>
      <c r="G6" s="5" t="n">
        <f aca="false">SUM(RawData!$L$2:$L$248)</f>
        <v>93.5</v>
      </c>
    </row>
    <row r="9" customFormat="false" ht="15" hidden="false" customHeight="false" outlineLevel="0" collapsed="false">
      <c r="B9" s="7" t="s">
        <v>199</v>
      </c>
    </row>
    <row r="10" customFormat="false" ht="15" hidden="false" customHeight="false" outlineLevel="0" collapsed="false">
      <c r="B10" s="8" t="s">
        <v>2</v>
      </c>
      <c r="C10" s="8" t="s">
        <v>200</v>
      </c>
      <c r="D10" s="8" t="s">
        <v>201</v>
      </c>
      <c r="E10" s="8" t="s">
        <v>202</v>
      </c>
      <c r="F10" s="8" t="s">
        <v>203</v>
      </c>
      <c r="G10" s="8" t="s">
        <v>204</v>
      </c>
    </row>
    <row r="11" customFormat="false" ht="15" hidden="false" customHeight="false" outlineLevel="0" collapsed="false">
      <c r="B11" s="9" t="s">
        <v>17</v>
      </c>
      <c r="C11" s="10" t="n">
        <f aca="false">AVERAGEIF(RawData!$C$2:$C$248,"Apr 2022",RawData!$E$2:$E$248)</f>
        <v>17.7594936708861</v>
      </c>
      <c r="D11" s="10" t="n">
        <f aca="false">AVERAGEIF(RawData!$C$2:$C$248,"Apr 2022",RawData!$F$2:$F$248)</f>
        <v>1.75316455696203</v>
      </c>
      <c r="E11" s="10" t="n">
        <f aca="false">AVERAGEIF(RawData!$C$2:$C$248,"Apr 2022",RawData!$G$2:$G$248)</f>
        <v>0.569620253164557</v>
      </c>
      <c r="F11" s="10" t="n">
        <f aca="false">AVERAGEIF(RawData!$C$2:$C$248,"Apr 2022",RawData!$H$2:$H$248)</f>
        <v>0.0886075949367089</v>
      </c>
      <c r="G11" s="10" t="n">
        <f aca="false">AVERAGEIF(RawData!$C$2:$C$248,"Apr 2022",RawData!$L$2:$L$248)</f>
        <v>0.272151898734177</v>
      </c>
    </row>
    <row r="12" customFormat="false" ht="15" hidden="false" customHeight="false" outlineLevel="0" collapsed="false">
      <c r="B12" s="9" t="s">
        <v>160</v>
      </c>
      <c r="C12" s="10" t="n">
        <f aca="false">AVERAGEIF(RawData!$C$2:$C$248,"May 2022",RawData!$E$2:$E$248)</f>
        <v>16.4411764705882</v>
      </c>
      <c r="D12" s="10" t="n">
        <f aca="false">AVERAGEIF(RawData!$C$2:$C$248,"May 2022",RawData!$F$2:$F$248)</f>
        <v>2.04705882352941</v>
      </c>
      <c r="E12" s="10" t="n">
        <f aca="false">AVERAGEIF(RawData!$C$2:$C$248,"May 2022",RawData!$G$2:$G$248)</f>
        <v>1.00588235294118</v>
      </c>
      <c r="F12" s="10" t="n">
        <f aca="false">AVERAGEIF(RawData!$C$2:$C$248,"May 2022",RawData!$H$2:$H$248)</f>
        <v>0.341176470588235</v>
      </c>
      <c r="G12" s="10" t="n">
        <f aca="false">AVERAGEIF(RawData!$C$2:$C$248,"May 2022",RawData!$L$2:$L$248)</f>
        <v>0.411764705882353</v>
      </c>
    </row>
    <row r="13" customFormat="false" ht="15" hidden="false" customHeight="false" outlineLevel="0" collapsed="false">
      <c r="B13" s="9" t="s">
        <v>179</v>
      </c>
      <c r="C13" s="10" t="n">
        <f aca="false">AVERAGEIF(RawData!$C$2:$C$248,"June 2022",RawData!$E$2:$E$248)</f>
        <v>10.4457831325301</v>
      </c>
      <c r="D13" s="10" t="n">
        <f aca="false">AVERAGEIF(RawData!$C$2:$C$248,"June 2022",RawData!$F$2:$F$248)</f>
        <v>1.69277108433735</v>
      </c>
      <c r="E13" s="10" t="n">
        <f aca="false">AVERAGEIF(RawData!$C$2:$C$248,"June 2022",RawData!$G$2:$G$248)</f>
        <v>0.355421686746988</v>
      </c>
      <c r="F13" s="10" t="n">
        <f aca="false">AVERAGEIF(RawData!$C$2:$C$248,"June 2022",RawData!$H$2:$H$248)</f>
        <v>0.144578313253012</v>
      </c>
      <c r="G13" s="10" t="n">
        <f aca="false">AVERAGEIF(RawData!$C$2:$C$248,"June 2022",RawData!$L$2:$L$248)</f>
        <v>0.445783132530121</v>
      </c>
    </row>
    <row r="16" customFormat="false" ht="15" hidden="false" customHeight="false" outlineLevel="0" collapsed="false">
      <c r="B16" s="7" t="s">
        <v>205</v>
      </c>
    </row>
    <row r="17" customFormat="false" ht="15" hidden="false" customHeight="false" outlineLevel="0" collapsed="false">
      <c r="B17" s="8" t="s">
        <v>206</v>
      </c>
      <c r="C17" s="8" t="s">
        <v>207</v>
      </c>
      <c r="D17" s="8" t="s">
        <v>208</v>
      </c>
    </row>
    <row r="18" customFormat="false" ht="15" hidden="false" customHeight="false" outlineLevel="0" collapsed="false">
      <c r="B18" s="9" t="n">
        <v>1</v>
      </c>
      <c r="C18" s="9" t="s">
        <v>41</v>
      </c>
      <c r="D18" s="9" t="n">
        <f aca="false">SUMIF(RawData!$B$2:$B$248,"Kaylah Schultz",RawData!$G$2:$G$248)+SUMIF(RawData!$B$2:$B$248,"Kaylah Schultz",RawData!$H$2:$H$248)+SUMIF(RawData!$B$2:$B$248,"Kaylah Schultz",RawData!$L$2:$L$248)</f>
        <v>16</v>
      </c>
    </row>
    <row r="19" customFormat="false" ht="15" hidden="false" customHeight="false" outlineLevel="0" collapsed="false">
      <c r="B19" s="9" t="n">
        <v>2</v>
      </c>
      <c r="C19" s="9" t="s">
        <v>153</v>
      </c>
      <c r="D19" s="9" t="n">
        <f aca="false">SUMIF(RawData!$B$2:$B$248,"Miley Combs",RawData!$G$2:$G$248)+SUMIF(RawData!$B$2:$B$248,"Miley Combs",RawData!$H$2:$H$248)+SUMIF(RawData!$B$2:$B$248,"Miley Combs",RawData!$L$2:$L$248)</f>
        <v>16</v>
      </c>
    </row>
    <row r="20" customFormat="false" ht="15" hidden="false" customHeight="false" outlineLevel="0" collapsed="false">
      <c r="B20" s="9" t="n">
        <v>3</v>
      </c>
      <c r="C20" s="9" t="s">
        <v>115</v>
      </c>
      <c r="D20" s="9" t="n">
        <f aca="false">SUMIF(RawData!$B$2:$B$248,"Ayanna Atkins",RawData!$G$2:$G$248)+SUMIF(RawData!$B$2:$B$248,"Ayanna Atkins",RawData!$H$2:$H$248)+SUMIF(RawData!$B$2:$B$248,"Ayanna Atkins",RawData!$L$2:$L$248)</f>
        <v>13</v>
      </c>
    </row>
    <row r="21" customFormat="false" ht="15" hidden="false" customHeight="false" outlineLevel="0" collapsed="false">
      <c r="B21" s="9" t="n">
        <v>4</v>
      </c>
      <c r="C21" s="9" t="s">
        <v>33</v>
      </c>
      <c r="D21" s="9" t="n">
        <f aca="false">SUMIF(RawData!$B$2:$B$248,"Ana Little",RawData!$G$2:$G$248)+SUMIF(RawData!$B$2:$B$248,"Ana Little",RawData!$H$2:$H$248)+SUMIF(RawData!$B$2:$B$248,"Ana Little",RawData!$L$2:$L$248)</f>
        <v>12</v>
      </c>
    </row>
    <row r="22" customFormat="false" ht="15" hidden="false" customHeight="false" outlineLevel="0" collapsed="false">
      <c r="B22" s="9" t="n">
        <v>5</v>
      </c>
      <c r="C22" s="9" t="s">
        <v>50</v>
      </c>
      <c r="D22" s="9" t="n">
        <f aca="false">SUMIF(RawData!$B$2:$B$248,"Madelynn Gray",RawData!$G$2:$G$248)+SUMIF(RawData!$B$2:$B$248,"Madelynn Gray",RawData!$H$2:$H$248)+SUMIF(RawData!$B$2:$B$248,"Madelynn Gray",RawData!$L$2:$L$248)</f>
        <v>10.5</v>
      </c>
    </row>
    <row r="23" customFormat="false" ht="15" hidden="false" customHeight="false" outlineLevel="0" collapsed="false">
      <c r="B23" s="9" t="n">
        <v>6</v>
      </c>
      <c r="C23" s="9" t="s">
        <v>65</v>
      </c>
      <c r="D23" s="9" t="n">
        <f aca="false">SUMIF(RawData!$B$2:$B$248,"Trystan Ortega",RawData!$G$2:$G$248)+SUMIF(RawData!$B$2:$B$248,"Trystan Ortega",RawData!$H$2:$H$248)+SUMIF(RawData!$B$2:$B$248,"Trystan Ortega",RawData!$L$2:$L$248)</f>
        <v>10</v>
      </c>
    </row>
    <row r="24" customFormat="false" ht="15" hidden="false" customHeight="false" outlineLevel="0" collapsed="false">
      <c r="B24" s="9" t="n">
        <v>7</v>
      </c>
      <c r="C24" s="9" t="s">
        <v>113</v>
      </c>
      <c r="D24" s="9" t="n">
        <f aca="false">SUMIF(RawData!$B$2:$B$248,"Gregory Carr",RawData!$G$2:$G$248)+SUMIF(RawData!$B$2:$B$248,"Gregory Carr",RawData!$H$2:$H$248)+SUMIF(RawData!$B$2:$B$248,"Gregory Carr",RawData!$L$2:$L$248)</f>
        <v>10</v>
      </c>
    </row>
    <row r="25" customFormat="false" ht="15" hidden="false" customHeight="false" outlineLevel="0" collapsed="false">
      <c r="B25" s="9" t="n">
        <v>8</v>
      </c>
      <c r="C25" s="9" t="s">
        <v>118</v>
      </c>
      <c r="D25" s="9" t="n">
        <f aca="false">SUMIF(RawData!$B$2:$B$248,"Emma Freeman",RawData!$G$2:$G$248)+SUMIF(RawData!$B$2:$B$248,"Emma Freeman",RawData!$H$2:$H$248)+SUMIF(RawData!$B$2:$B$248,"Emma Freeman",RawData!$L$2:$L$248)</f>
        <v>9</v>
      </c>
    </row>
    <row r="26" customFormat="false" ht="15" hidden="false" customHeight="false" outlineLevel="0" collapsed="false">
      <c r="B26" s="9" t="n">
        <v>9</v>
      </c>
      <c r="C26" s="9" t="s">
        <v>61</v>
      </c>
      <c r="D26" s="9" t="n">
        <f aca="false">SUMIF(RawData!$B$2:$B$248,"Joel Cruz",RawData!$G$2:$G$248)+SUMIF(RawData!$B$2:$B$248,"Joel Cruz",RawData!$H$2:$H$248)+SUMIF(RawData!$B$2:$B$248,"Joel Cruz",RawData!$L$2:$L$248)</f>
        <v>9</v>
      </c>
    </row>
    <row r="27" customFormat="false" ht="15" hidden="false" customHeight="false" outlineLevel="0" collapsed="false">
      <c r="B27" s="9" t="n">
        <v>10</v>
      </c>
      <c r="C27" s="9" t="s">
        <v>126</v>
      </c>
      <c r="D27" s="9" t="n">
        <f aca="false">SUMIF(RawData!$B$2:$B$248,"Nick Orozco",RawData!$G$2:$G$248)+SUMIF(RawData!$B$2:$B$248,"Nick Orozco",RawData!$H$2:$H$248)+SUMIF(RawData!$B$2:$B$248,"Nick Orozco",RawData!$L$2:$L$248)</f>
        <v>8</v>
      </c>
    </row>
    <row r="30" customFormat="false" ht="15" hidden="false" customHeight="false" outlineLevel="0" collapsed="false">
      <c r="B30" s="11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2026-07-25T04:58:25Z</dcterms:created>
  <dc:creator>openpyxl</dc:creator>
  <dc:description/>
  <dc:language>en-US</dc:language>
  <cp:lastModifiedBy/>
  <dcterms:modified xsi:type="dcterms:W3CDTF">2026-07-25T04:58:25Z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